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Downloads\GitHub\excel-retail-sales-dashboard\"/>
    </mc:Choice>
  </mc:AlternateContent>
  <xr:revisionPtr revIDLastSave="0" documentId="13_ncr:1_{6E7AB718-E98E-482D-B916-A30688FD73B7}" xr6:coauthVersionLast="47" xr6:coauthVersionMax="47" xr10:uidLastSave="{00000000-0000-0000-0000-000000000000}"/>
  <bookViews>
    <workbookView xWindow="-108" yWindow="-108" windowWidth="23256" windowHeight="13896" firstSheet="1" activeTab="1" xr2:uid="{D94F5EF3-0B66-46ED-B833-75C7B9A58457}"/>
  </bookViews>
  <sheets>
    <sheet name="SalesRep" sheetId="5" r:id="rId1"/>
    <sheet name="Dashboard" sheetId="8" r:id="rId2"/>
    <sheet name="Retail_Sales_Data" sheetId="4" r:id="rId3"/>
    <sheet name="Product" sheetId="3" r:id="rId4"/>
    <sheet name="Customer" sheetId="2" r:id="rId5"/>
    <sheet name="Analysis" sheetId="1" r:id="rId6"/>
  </sheets>
  <definedNames>
    <definedName name="ExternalData_1" localSheetId="4" hidden="1">'Customer'!$A$1:$D$21</definedName>
    <definedName name="ExternalData_2" localSheetId="3" hidden="1">Product!$A$1:$E$21</definedName>
    <definedName name="ExternalData_3" localSheetId="2" hidden="1">'Retail_Sales_Data'!$A$1:$V$501</definedName>
    <definedName name="ExternalData_4" localSheetId="0" hidden="1">SalesRep!$A$1:$D$16</definedName>
    <definedName name="mostdiscountregion">Analysis!$S$48</definedName>
    <definedName name="NativeTimeline_OrderDate">#N/A</definedName>
    <definedName name="salesbyregion">Analysis!$O$39</definedName>
    <definedName name="salestrend">Analysis!$K$39</definedName>
    <definedName name="Slicer_Category">#N/A</definedName>
    <definedName name="Slicer_Order_Category">#N/A</definedName>
    <definedName name="Slicer_Region">#N/A</definedName>
    <definedName name="Slicer_Sales_Rep">#N/A</definedName>
    <definedName name="topsellingproduct">Analysis!$K$57</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9" i="1" l="1"/>
  <c r="K57" i="1"/>
  <c r="S48" i="1"/>
  <c r="K39" i="1"/>
  <c r="N33" i="1"/>
  <c r="M33" i="1"/>
  <c r="N30" i="1"/>
  <c r="M30" i="1"/>
  <c r="N32" i="1"/>
  <c r="L32" i="1"/>
  <c r="N31" i="1"/>
  <c r="M31" i="1"/>
  <c r="M32" i="1"/>
  <c r="L30" i="1"/>
  <c r="L31" i="1"/>
  <c r="L33" i="1"/>
  <c r="O32" i="1" l="1"/>
  <c r="P32" i="1" s="1"/>
  <c r="O31" i="1"/>
  <c r="P31" i="1" s="1"/>
  <c r="O30" i="1"/>
  <c r="P30" i="1" s="1"/>
  <c r="O33" i="1"/>
  <c r="P3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F68BA3-A89D-4B3E-A66F-0BBBDEF92720}" keepAlive="1" name="Query - AOV Summary" description="Connection to the 'AOV Summary' query in the workbook." type="5" refreshedVersion="8" background="1" saveData="1">
    <dbPr connection="Provider=Microsoft.Mashup.OleDb.1;Data Source=$Workbook$;Location=&quot;AOV Summary&quot;;Extended Properties=&quot;&quot;" command="SELECT * FROM [AOV Summary]"/>
  </connection>
  <connection id="2" xr16:uid="{1C8E1568-B2DD-49F2-AF4A-EC6D7DBF7340}"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3" xr16:uid="{4ECD349A-288F-4B09-ABC7-A49A1335E57A}"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4" xr16:uid="{4CE57E28-44AA-4992-9AFF-B0B9BC505DB1}" keepAlive="1" name="Query - Retail_Sales_Data" description="Connection to the 'Retail_Sales_Data' query in the workbook." type="5" refreshedVersion="8" background="1" saveData="1">
    <dbPr connection="Provider=Microsoft.Mashup.OleDb.1;Data Source=$Workbook$;Location=Retail_Sales_Data;Extended Properties=&quot;&quot;" command="SELECT * FROM [Retail_Sales_Data]"/>
  </connection>
  <connection id="5" xr16:uid="{343DA5B2-8146-47C5-9280-72BC613F2183}" keepAlive="1" name="Query - SalesRep" description="Connection to the 'SalesRep' query in the workbook." type="5" refreshedVersion="8" background="1" saveData="1">
    <dbPr connection="Provider=Microsoft.Mashup.OleDb.1;Data Source=$Workbook$;Location=SalesRep;Extended Properties=&quot;&quot;" command="SELECT * FROM [SalesRep]"/>
  </connection>
</connections>
</file>

<file path=xl/sharedStrings.xml><?xml version="1.0" encoding="utf-8"?>
<sst xmlns="http://schemas.openxmlformats.org/spreadsheetml/2006/main" count="6866" uniqueCount="193">
  <si>
    <t>Customer ID</t>
  </si>
  <si>
    <t>Customer Name</t>
  </si>
  <si>
    <t>Region</t>
  </si>
  <si>
    <t>Country</t>
  </si>
  <si>
    <t>C001</t>
  </si>
  <si>
    <t>John Doe</t>
  </si>
  <si>
    <t>East</t>
  </si>
  <si>
    <t>USA</t>
  </si>
  <si>
    <t>C002</t>
  </si>
  <si>
    <t>Susan Lee</t>
  </si>
  <si>
    <t>West</t>
  </si>
  <si>
    <t>C003</t>
  </si>
  <si>
    <t>Mary Smith</t>
  </si>
  <si>
    <t>North</t>
  </si>
  <si>
    <t>C004</t>
  </si>
  <si>
    <t>Alex Brown</t>
  </si>
  <si>
    <t>South</t>
  </si>
  <si>
    <t>C005</t>
  </si>
  <si>
    <t>Emily Davis</t>
  </si>
  <si>
    <t>Canada</t>
  </si>
  <si>
    <t>C006</t>
  </si>
  <si>
    <t>Michael Johnson</t>
  </si>
  <si>
    <t>C007</t>
  </si>
  <si>
    <t>Sarah Wilson</t>
  </si>
  <si>
    <t>C008</t>
  </si>
  <si>
    <t>David Miller</t>
  </si>
  <si>
    <t>C009</t>
  </si>
  <si>
    <t>Laura Moore</t>
  </si>
  <si>
    <t>UK</t>
  </si>
  <si>
    <t>C010</t>
  </si>
  <si>
    <t>Robert Taylor</t>
  </si>
  <si>
    <t>C011</t>
  </si>
  <si>
    <t>Jessica Anderson</t>
  </si>
  <si>
    <t>C012</t>
  </si>
  <si>
    <t>Thomas Thomas</t>
  </si>
  <si>
    <t>C013</t>
  </si>
  <si>
    <t>Amy Jackson</t>
  </si>
  <si>
    <t>Australia</t>
  </si>
  <si>
    <t>C014</t>
  </si>
  <si>
    <t>Daniel White</t>
  </si>
  <si>
    <t>C015</t>
  </si>
  <si>
    <t>Nicole Harris</t>
  </si>
  <si>
    <t>C016</t>
  </si>
  <si>
    <t>Kevin Martin</t>
  </si>
  <si>
    <t>C017</t>
  </si>
  <si>
    <t>Olivia King</t>
  </si>
  <si>
    <t>C018</t>
  </si>
  <si>
    <t>Liam Jones</t>
  </si>
  <si>
    <t>C019</t>
  </si>
  <si>
    <t>Noah White</t>
  </si>
  <si>
    <t>C020</t>
  </si>
  <si>
    <t>Emma Stone</t>
  </si>
  <si>
    <t>Product ID</t>
  </si>
  <si>
    <t>Product</t>
  </si>
  <si>
    <t>Category</t>
  </si>
  <si>
    <t>Unit Price</t>
  </si>
  <si>
    <t>Product Company Name</t>
  </si>
  <si>
    <t>P001</t>
  </si>
  <si>
    <t>Laptop</t>
  </si>
  <si>
    <t>Electronics</t>
  </si>
  <si>
    <t>Dell</t>
  </si>
  <si>
    <t>P002</t>
  </si>
  <si>
    <t>Office Chair</t>
  </si>
  <si>
    <t>Furniture</t>
  </si>
  <si>
    <t>Ikea</t>
  </si>
  <si>
    <t>P003</t>
  </si>
  <si>
    <t>Mouse</t>
  </si>
  <si>
    <t>Logitech</t>
  </si>
  <si>
    <t>P004</t>
  </si>
  <si>
    <t>Keyboard</t>
  </si>
  <si>
    <t>P005</t>
  </si>
  <si>
    <t>Desk</t>
  </si>
  <si>
    <t>P006</t>
  </si>
  <si>
    <t>Monitor</t>
  </si>
  <si>
    <t>HP</t>
  </si>
  <si>
    <t>P007</t>
  </si>
  <si>
    <t>Printer</t>
  </si>
  <si>
    <t>Canon</t>
  </si>
  <si>
    <t>P008</t>
  </si>
  <si>
    <t>Cabinet</t>
  </si>
  <si>
    <t>P009</t>
  </si>
  <si>
    <t>Tablet</t>
  </si>
  <si>
    <t>Samsung</t>
  </si>
  <si>
    <t>P010</t>
  </si>
  <si>
    <t>Headphones</t>
  </si>
  <si>
    <t>Sony</t>
  </si>
  <si>
    <t>P011</t>
  </si>
  <si>
    <t>Smartphone</t>
  </si>
  <si>
    <t>P012</t>
  </si>
  <si>
    <t>Bookshelf</t>
  </si>
  <si>
    <t>P013</t>
  </si>
  <si>
    <t>Router</t>
  </si>
  <si>
    <t>TP-Link</t>
  </si>
  <si>
    <t>P014</t>
  </si>
  <si>
    <t>Couch</t>
  </si>
  <si>
    <t>P015</t>
  </si>
  <si>
    <t>Desk Lamp</t>
  </si>
  <si>
    <t>P016</t>
  </si>
  <si>
    <t>Webcam</t>
  </si>
  <si>
    <t>P017</t>
  </si>
  <si>
    <t>Projector</t>
  </si>
  <si>
    <t>Epson</t>
  </si>
  <si>
    <t>P018</t>
  </si>
  <si>
    <t>Chair Mat</t>
  </si>
  <si>
    <t>P019</t>
  </si>
  <si>
    <t>Notebook</t>
  </si>
  <si>
    <t>P020</t>
  </si>
  <si>
    <t>Pen</t>
  </si>
  <si>
    <t>Staples</t>
  </si>
  <si>
    <t>Rep ID</t>
  </si>
  <si>
    <t>Sales Rep</t>
  </si>
  <si>
    <t>Sales Rep Level</t>
  </si>
  <si>
    <t>SR001</t>
  </si>
  <si>
    <t>Senior</t>
  </si>
  <si>
    <t>SR002</t>
  </si>
  <si>
    <t>Mid</t>
  </si>
  <si>
    <t>SR003</t>
  </si>
  <si>
    <t>Junior</t>
  </si>
  <si>
    <t>SR004</t>
  </si>
  <si>
    <t>SR005</t>
  </si>
  <si>
    <t>John Smith</t>
  </si>
  <si>
    <t>SR006</t>
  </si>
  <si>
    <t>SR007</t>
  </si>
  <si>
    <t>SR008</t>
  </si>
  <si>
    <t>SR009</t>
  </si>
  <si>
    <t>SR010</t>
  </si>
  <si>
    <t>SR011</t>
  </si>
  <si>
    <t>SR012</t>
  </si>
  <si>
    <t>SR013</t>
  </si>
  <si>
    <t>SR014</t>
  </si>
  <si>
    <t>SR015</t>
  </si>
  <si>
    <t>OrderID</t>
  </si>
  <si>
    <t>OrderDate</t>
  </si>
  <si>
    <t>Customer.Country</t>
  </si>
  <si>
    <t>Customer.Region</t>
  </si>
  <si>
    <t>Manufacturer</t>
  </si>
  <si>
    <t>Quantity</t>
  </si>
  <si>
    <t>Quantity Flag</t>
  </si>
  <si>
    <t>Experience Level</t>
  </si>
  <si>
    <t>Order Status</t>
  </si>
  <si>
    <t>Total Sales</t>
  </si>
  <si>
    <t>Discount</t>
  </si>
  <si>
    <t>Order Category</t>
  </si>
  <si>
    <t>Ok</t>
  </si>
  <si>
    <t>Completed</t>
  </si>
  <si>
    <t>Low</t>
  </si>
  <si>
    <t>Pending</t>
  </si>
  <si>
    <t>Missing Quantity</t>
  </si>
  <si>
    <t>Cancelled</t>
  </si>
  <si>
    <t>Medium</t>
  </si>
  <si>
    <t>High</t>
  </si>
  <si>
    <t>Month</t>
  </si>
  <si>
    <t>Year</t>
  </si>
  <si>
    <t>Jan</t>
  </si>
  <si>
    <t>Aug</t>
  </si>
  <si>
    <t>Oct</t>
  </si>
  <si>
    <t>Apr</t>
  </si>
  <si>
    <t>Feb</t>
  </si>
  <si>
    <t>Mar</t>
  </si>
  <si>
    <t>May</t>
  </si>
  <si>
    <t>Jul</t>
  </si>
  <si>
    <t>Sep</t>
  </si>
  <si>
    <t>Nov</t>
  </si>
  <si>
    <t>Dec</t>
  </si>
  <si>
    <t>Jun</t>
  </si>
  <si>
    <t>Total Net Sales</t>
  </si>
  <si>
    <t>Grand Total</t>
  </si>
  <si>
    <t>Net Sales</t>
  </si>
  <si>
    <t>Quantity Sold</t>
  </si>
  <si>
    <t>Sum of Discount</t>
  </si>
  <si>
    <t>Total Discount</t>
  </si>
  <si>
    <t>Order Count</t>
  </si>
  <si>
    <t>Key Performance Indicators</t>
  </si>
  <si>
    <t>Total Orders</t>
  </si>
  <si>
    <t>Total Discount Given</t>
  </si>
  <si>
    <t>Totals</t>
  </si>
  <si>
    <t>Total Values</t>
  </si>
  <si>
    <t>CY</t>
  </si>
  <si>
    <t>PY</t>
  </si>
  <si>
    <t>YoY%</t>
  </si>
  <si>
    <t>Sum of AOV</t>
  </si>
  <si>
    <t>Avrage Order Value</t>
  </si>
  <si>
    <t>Sum of Net Sales</t>
  </si>
  <si>
    <t>Sales Trend</t>
  </si>
  <si>
    <t>Sales by Region</t>
  </si>
  <si>
    <t>Average Order value by Sales Reps</t>
  </si>
  <si>
    <t>Average Order Value by Year</t>
  </si>
  <si>
    <t>Quantity Sold by Category</t>
  </si>
  <si>
    <t>Discount Amount by Region</t>
  </si>
  <si>
    <t>Top 5 Selling Product</t>
  </si>
  <si>
    <t>Order Category by Net Sales</t>
  </si>
  <si>
    <t>(blank)</t>
  </si>
  <si>
    <t>Total 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</si>
</sst>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quot;£&quot;#,##0.00"/>
    <numFmt numFmtId="165" formatCode="[&gt;=1000000]\$0.0,,&quot;M&quot;;[&gt;=1000]\$0.0,&quot;K&quot;;0"/>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1">
    <xf numFmtId="0" fontId="0" fillId="0" borderId="0" xfId="0"/>
    <xf numFmtId="14" fontId="0" fillId="0" borderId="0" xfId="0" applyNumberFormat="1"/>
    <xf numFmtId="1" fontId="0" fillId="0" borderId="0" xfId="0" applyNumberFormat="1"/>
    <xf numFmtId="4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165" fontId="0" fillId="0" borderId="0" xfId="0" applyNumberFormat="1"/>
    <xf numFmtId="0" fontId="1" fillId="2" borderId="0" xfId="0" applyFont="1" applyFill="1" applyAlignment="1">
      <alignment horizontal="center"/>
    </xf>
  </cellXfs>
  <cellStyles count="2">
    <cellStyle name="Normal" xfId="0" builtinId="0"/>
    <cellStyle name="Percent" xfId="1" builtinId="5"/>
  </cellStyles>
  <dxfs count="49">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 formatCode="0"/>
    </dxf>
    <dxf>
      <numFmt numFmtId="165" formatCode="[&gt;=1000000]\$0.0,,&quot;M&quot;;[&gt;=1000]\$0.0,&quot;K&quot;;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font>
        <b/>
        <sz val="11"/>
        <color theme="1"/>
      </font>
    </dxf>
    <dxf>
      <fill>
        <patternFill patternType="solid">
          <fgColor theme="0"/>
          <bgColor theme="0" tint="-0.14996795556505021"/>
        </patternFill>
      </fill>
      <border diagonalUp="0" diagonalDown="0">
        <left/>
        <right/>
        <top/>
        <bottom/>
        <vertical/>
        <horizontal/>
      </border>
    </dxf>
    <dxf>
      <fill>
        <patternFill patternType="solid">
          <fgColor indexed="64"/>
          <bgColor theme="0" tint="-0.24994659260841701"/>
        </patternFill>
      </fill>
    </dxf>
    <dxf>
      <fill>
        <patternFill>
          <bgColor theme="2" tint="-9.9948118533890809E-2"/>
        </patternFill>
      </fill>
      <border diagonalUp="0" diagonalDown="0">
        <left/>
        <right/>
        <top/>
        <bottom/>
        <vertical/>
        <horizontal/>
      </border>
    </dxf>
  </dxfs>
  <tableStyles count="2" defaultTableStyle="TableStyleMedium2" defaultPivotStyle="PivotStyleLight16">
    <tableStyle name="Slicer Style 1" pivot="0" table="0" count="4" xr9:uid="{B319BD73-B59A-4DEA-BAE9-F7610E1CA640}">
      <tableStyleElement type="wholeTable" dxfId="48"/>
      <tableStyleElement type="headerRow" dxfId="47"/>
    </tableStyle>
    <tableStyle name="Timeline Style 1" pivot="0" table="0" count="8" xr9:uid="{7A1760C8-AC64-4B2B-9FD1-1B38405B2316}">
      <tableStyleElement type="wholeTable" dxfId="46"/>
      <tableStyleElement type="headerRow" dxfId="45"/>
    </tableStyle>
  </tableStyles>
  <colors>
    <mruColors>
      <color rgb="FF808080"/>
      <color rgb="FF9F4411"/>
      <color rgb="FFFFFFFF"/>
      <color rgb="FF79340D"/>
      <color rgb="FF652B0B"/>
      <color rgb="FFD05816"/>
    </mruColors>
  </colors>
  <extLst>
    <ext xmlns:x14="http://schemas.microsoft.com/office/spreadsheetml/2009/9/main" uri="{46F421CA-312F-682f-3DD2-61675219B42D}">
      <x14:dxfs count="2">
        <dxf>
          <font>
            <color theme="0"/>
          </font>
          <fill>
            <patternFill>
              <bgColor theme="9" tint="-0.499984740745262"/>
            </patternFill>
          </fill>
        </dxf>
        <dxf>
          <font>
            <color theme="0"/>
          </font>
          <fill>
            <patternFill>
              <fgColor theme="0"/>
              <bgColor theme="9"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5" tint="-0.499984740745262"/>
            </patternFill>
          </fill>
        </dxf>
        <dxf>
          <fill>
            <patternFill patternType="solid">
              <fgColor theme="0"/>
              <bgColor theme="9" tint="-0.499984740745262"/>
            </patternFill>
          </fill>
        </dxf>
        <dxf>
          <font>
            <b/>
            <i val="0"/>
            <sz val="9"/>
            <color theme="1"/>
            <name val="Aptos Narrow"/>
            <family val="2"/>
            <scheme val="minor"/>
          </font>
        </dxf>
        <dxf>
          <font>
            <b/>
            <i val="0"/>
            <sz val="9"/>
            <color theme="1"/>
            <name val="Aptos Narrow"/>
            <family val="2"/>
            <scheme val="minor"/>
          </font>
        </dxf>
        <dxf>
          <font>
            <b/>
            <i val="0"/>
            <sz val="9"/>
            <color theme="1"/>
            <name val="Aptos Narrow"/>
            <family val="2"/>
            <scheme val="minor"/>
          </font>
        </dxf>
        <dxf>
          <font>
            <b/>
            <i val="0"/>
            <sz val="10"/>
            <color auto="1"/>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Project2.1.xlsx]Analysis!PivotTable13</c:name>
    <c:fmtId val="17"/>
  </c:pivotSource>
  <c:chart>
    <c:autoTitleDeleted val="1"/>
    <c:pivotFmts>
      <c:pivotFmt>
        <c:idx val="0"/>
        <c:spPr>
          <a:solidFill>
            <a:schemeClr val="accent1"/>
          </a:solidFill>
          <a:ln w="16510" cap="rnd">
            <a:solidFill>
              <a:schemeClr val="accent2"/>
            </a:solidFill>
            <a:prstDash val="sysDot"/>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6510" cap="rnd">
            <a:solidFill>
              <a:schemeClr val="accent2"/>
            </a:solidFill>
            <a:prstDash val="sysDot"/>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6510" cap="rnd">
            <a:solidFill>
              <a:schemeClr val="accent2"/>
            </a:solidFill>
            <a:prstDash val="sysDot"/>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Analysis!$L$40</c:f>
              <c:strCache>
                <c:ptCount val="1"/>
                <c:pt idx="0">
                  <c:v>Total</c:v>
                </c:pt>
              </c:strCache>
            </c:strRef>
          </c:tx>
          <c:spPr>
            <a:ln w="16510" cap="rnd">
              <a:solidFill>
                <a:schemeClr val="accent2"/>
              </a:solidFill>
              <a:prstDash val="sysDot"/>
              <a:round/>
            </a:ln>
            <a:effectLst/>
          </c:spPr>
          <c:marker>
            <c:symbol val="circle"/>
            <c:size val="5"/>
            <c:spPr>
              <a:solidFill>
                <a:schemeClr val="accent2">
                  <a:lumMod val="75000"/>
                </a:schemeClr>
              </a:solidFill>
              <a:ln w="9525">
                <a:noFill/>
              </a:ln>
              <a:effectLst/>
            </c:spPr>
          </c:marker>
          <c:cat>
            <c:strRef>
              <c:f>Analysis!$K$41:$K$53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Analysis!$L$41:$L$53</c:f>
              <c:numCache>
                <c:formatCode>[&gt;=1000000]\$0.0,,"M";[&gt;=1000]\$0.0,"K";0</c:formatCode>
                <c:ptCount val="12"/>
                <c:pt idx="0">
                  <c:v>39705.5</c:v>
                </c:pt>
                <c:pt idx="1">
                  <c:v>32314</c:v>
                </c:pt>
                <c:pt idx="2">
                  <c:v>29881.9</c:v>
                </c:pt>
                <c:pt idx="3">
                  <c:v>31170</c:v>
                </c:pt>
                <c:pt idx="4">
                  <c:v>24260.9</c:v>
                </c:pt>
                <c:pt idx="5">
                  <c:v>25840.5</c:v>
                </c:pt>
                <c:pt idx="6">
                  <c:v>20070</c:v>
                </c:pt>
                <c:pt idx="7">
                  <c:v>19000</c:v>
                </c:pt>
                <c:pt idx="8">
                  <c:v>24156</c:v>
                </c:pt>
                <c:pt idx="9">
                  <c:v>21069.4</c:v>
                </c:pt>
                <c:pt idx="10">
                  <c:v>25088.5</c:v>
                </c:pt>
                <c:pt idx="11">
                  <c:v>21822</c:v>
                </c:pt>
              </c:numCache>
            </c:numRef>
          </c:val>
          <c:smooth val="1"/>
          <c:extLst>
            <c:ext xmlns:c16="http://schemas.microsoft.com/office/drawing/2014/chart" uri="{C3380CC4-5D6E-409C-BE32-E72D297353CC}">
              <c16:uniqueId val="{00000000-4ACD-40AE-96A5-BC15DBDD1966}"/>
            </c:ext>
          </c:extLst>
        </c:ser>
        <c:dLbls>
          <c:showLegendKey val="0"/>
          <c:showVal val="0"/>
          <c:showCatName val="0"/>
          <c:showSerName val="0"/>
          <c:showPercent val="0"/>
          <c:showBubbleSize val="0"/>
        </c:dLbls>
        <c:marker val="1"/>
        <c:smooth val="0"/>
        <c:axId val="76573103"/>
        <c:axId val="76569743"/>
      </c:lineChart>
      <c:catAx>
        <c:axId val="765731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69743"/>
        <c:crosses val="autoZero"/>
        <c:auto val="1"/>
        <c:lblAlgn val="ctr"/>
        <c:lblOffset val="100"/>
        <c:noMultiLvlLbl val="0"/>
      </c:catAx>
      <c:valAx>
        <c:axId val="76569743"/>
        <c:scaling>
          <c:orientation val="minMax"/>
        </c:scaling>
        <c:delete val="1"/>
        <c:axPos val="l"/>
        <c:numFmt formatCode="[&gt;=1000000]\$0.0,,&quot;M&quot;;[&gt;=1000]\$0.0,&quot;K&quot;;0" sourceLinked="1"/>
        <c:majorTickMark val="none"/>
        <c:minorTickMark val="none"/>
        <c:tickLblPos val="nextTo"/>
        <c:crossAx val="7657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Project2.1.xlsx]Analysis!PivotTable14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Analysis!$P$40</c:f>
              <c:strCache>
                <c:ptCount val="1"/>
                <c:pt idx="0">
                  <c:v>Total</c:v>
                </c:pt>
              </c:strCache>
            </c:strRef>
          </c:tx>
          <c:spPr>
            <a:solidFill>
              <a:schemeClr val="accent6">
                <a:lumMod val="50000"/>
              </a:schemeClr>
            </a:solidFill>
            <a:ln>
              <a:noFill/>
            </a:ln>
            <a:effectLst/>
          </c:spPr>
          <c:invertIfNegative val="0"/>
          <c:cat>
            <c:strRef>
              <c:f>Analysis!$O$41:$O$44</c:f>
              <c:strCache>
                <c:ptCount val="4"/>
                <c:pt idx="0">
                  <c:v>East</c:v>
                </c:pt>
                <c:pt idx="1">
                  <c:v>North</c:v>
                </c:pt>
                <c:pt idx="2">
                  <c:v>South</c:v>
                </c:pt>
                <c:pt idx="3">
                  <c:v>West</c:v>
                </c:pt>
              </c:strCache>
            </c:strRef>
          </c:cat>
          <c:val>
            <c:numRef>
              <c:f>Analysis!$P$41:$P$44</c:f>
              <c:numCache>
                <c:formatCode>[&gt;=1000000]\$0.0,,"M";[&gt;=1000]\$0.0,"K";0</c:formatCode>
                <c:ptCount val="4"/>
                <c:pt idx="0">
                  <c:v>123153.5</c:v>
                </c:pt>
                <c:pt idx="1">
                  <c:v>50751.200000000004</c:v>
                </c:pt>
                <c:pt idx="2">
                  <c:v>67782</c:v>
                </c:pt>
                <c:pt idx="3">
                  <c:v>72692</c:v>
                </c:pt>
              </c:numCache>
            </c:numRef>
          </c:val>
          <c:extLst>
            <c:ext xmlns:c16="http://schemas.microsoft.com/office/drawing/2014/chart" uri="{C3380CC4-5D6E-409C-BE32-E72D297353CC}">
              <c16:uniqueId val="{00000000-0BDB-44BC-AD8F-D24D3731A9F8}"/>
            </c:ext>
          </c:extLst>
        </c:ser>
        <c:dLbls>
          <c:showLegendKey val="0"/>
          <c:showVal val="0"/>
          <c:showCatName val="0"/>
          <c:showSerName val="0"/>
          <c:showPercent val="0"/>
          <c:showBubbleSize val="0"/>
        </c:dLbls>
        <c:gapWidth val="219"/>
        <c:overlap val="-27"/>
        <c:axId val="79643983"/>
        <c:axId val="79637263"/>
      </c:barChart>
      <c:catAx>
        <c:axId val="7964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7263"/>
        <c:crosses val="autoZero"/>
        <c:auto val="1"/>
        <c:lblAlgn val="ctr"/>
        <c:lblOffset val="100"/>
        <c:noMultiLvlLbl val="0"/>
      </c:catAx>
      <c:valAx>
        <c:axId val="79637263"/>
        <c:scaling>
          <c:orientation val="minMax"/>
        </c:scaling>
        <c:delete val="1"/>
        <c:axPos val="l"/>
        <c:numFmt formatCode="[&gt;=1000000]\$0.0,,&quot;M&quot;;[&gt;=1000]\$0.0,&quot;K&quot;;0" sourceLinked="1"/>
        <c:majorTickMark val="none"/>
        <c:minorTickMark val="none"/>
        <c:tickLblPos val="nextTo"/>
        <c:crossAx val="7964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Project2.1.xlsx]Analysis!PivotTable17</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F44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Analysis!$T$49</c:f>
              <c:strCache>
                <c:ptCount val="1"/>
                <c:pt idx="0">
                  <c:v>Total</c:v>
                </c:pt>
              </c:strCache>
            </c:strRef>
          </c:tx>
          <c:spPr>
            <a:solidFill>
              <a:srgbClr val="9F4411"/>
            </a:solidFill>
            <a:ln>
              <a:noFill/>
            </a:ln>
            <a:effectLst/>
          </c:spPr>
          <c:invertIfNegative val="0"/>
          <c:cat>
            <c:strRef>
              <c:f>Analysis!$S$50:$S$54</c:f>
              <c:strCache>
                <c:ptCount val="4"/>
                <c:pt idx="0">
                  <c:v>East</c:v>
                </c:pt>
                <c:pt idx="1">
                  <c:v>North</c:v>
                </c:pt>
                <c:pt idx="2">
                  <c:v>South</c:v>
                </c:pt>
                <c:pt idx="3">
                  <c:v>West</c:v>
                </c:pt>
              </c:strCache>
            </c:strRef>
          </c:cat>
          <c:val>
            <c:numRef>
              <c:f>Analysis!$T$50:$T$54</c:f>
              <c:numCache>
                <c:formatCode>[&gt;=1000000]\$0.0,,"M";[&gt;=1000]\$0.0,"K";0</c:formatCode>
                <c:ptCount val="4"/>
                <c:pt idx="0">
                  <c:v>6106.5</c:v>
                </c:pt>
                <c:pt idx="1">
                  <c:v>1948.8000000000002</c:v>
                </c:pt>
                <c:pt idx="2">
                  <c:v>2598</c:v>
                </c:pt>
                <c:pt idx="3">
                  <c:v>4158</c:v>
                </c:pt>
              </c:numCache>
            </c:numRef>
          </c:val>
          <c:extLst>
            <c:ext xmlns:c16="http://schemas.microsoft.com/office/drawing/2014/chart" uri="{C3380CC4-5D6E-409C-BE32-E72D297353CC}">
              <c16:uniqueId val="{00000000-A845-473C-AC61-FF60B6DADD0B}"/>
            </c:ext>
          </c:extLst>
        </c:ser>
        <c:dLbls>
          <c:showLegendKey val="0"/>
          <c:showVal val="0"/>
          <c:showCatName val="0"/>
          <c:showSerName val="0"/>
          <c:showPercent val="0"/>
          <c:showBubbleSize val="0"/>
        </c:dLbls>
        <c:gapWidth val="150"/>
        <c:overlap val="100"/>
        <c:axId val="1443060111"/>
        <c:axId val="1443061551"/>
      </c:barChart>
      <c:catAx>
        <c:axId val="144306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061551"/>
        <c:crosses val="autoZero"/>
        <c:auto val="1"/>
        <c:lblAlgn val="ctr"/>
        <c:lblOffset val="100"/>
        <c:noMultiLvlLbl val="0"/>
      </c:catAx>
      <c:valAx>
        <c:axId val="1443061551"/>
        <c:scaling>
          <c:orientation val="minMax"/>
        </c:scaling>
        <c:delete val="1"/>
        <c:axPos val="b"/>
        <c:numFmt formatCode="[&gt;=1000000]\$0.0,,&quot;M&quot;;[&gt;=1000]\$0.0,&quot;K&quot;;0" sourceLinked="1"/>
        <c:majorTickMark val="none"/>
        <c:minorTickMark val="none"/>
        <c:tickLblPos val="nextTo"/>
        <c:crossAx val="144306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Project2.1.xlsx]Analysis!PivotTable15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Analysis!$T$40</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Analysis!$S$41:$S$45</c:f>
              <c:strCache>
                <c:ptCount val="4"/>
                <c:pt idx="0">
                  <c:v>Emma Stone</c:v>
                </c:pt>
                <c:pt idx="1">
                  <c:v>Liam Jones</c:v>
                </c:pt>
                <c:pt idx="2">
                  <c:v>Noah White</c:v>
                </c:pt>
                <c:pt idx="3">
                  <c:v>Olivia King</c:v>
                </c:pt>
              </c:strCache>
            </c:strRef>
          </c:cat>
          <c:val>
            <c:numRef>
              <c:f>Analysis!$T$41:$T$45</c:f>
              <c:numCache>
                <c:formatCode>[&gt;=1000000]\$0.0,,"M";[&gt;=1000]\$0.0,"K";0</c:formatCode>
                <c:ptCount val="4"/>
                <c:pt idx="0">
                  <c:v>562.08500000000004</c:v>
                </c:pt>
                <c:pt idx="1">
                  <c:v>1082.0320000000002</c:v>
                </c:pt>
                <c:pt idx="2">
                  <c:v>503.64499999999998</c:v>
                </c:pt>
                <c:pt idx="3">
                  <c:v>433.94</c:v>
                </c:pt>
              </c:numCache>
            </c:numRef>
          </c:val>
          <c:extLst>
            <c:ext xmlns:c16="http://schemas.microsoft.com/office/drawing/2014/chart" uri="{C3380CC4-5D6E-409C-BE32-E72D297353CC}">
              <c16:uniqueId val="{00000000-5833-4D8E-83C3-7C810CB0FD48}"/>
            </c:ext>
          </c:extLst>
        </c:ser>
        <c:dLbls>
          <c:dLblPos val="outEnd"/>
          <c:showLegendKey val="0"/>
          <c:showVal val="1"/>
          <c:showCatName val="0"/>
          <c:showSerName val="0"/>
          <c:showPercent val="0"/>
          <c:showBubbleSize val="0"/>
        </c:dLbls>
        <c:gapWidth val="182"/>
        <c:axId val="1612578256"/>
        <c:axId val="1612578736"/>
      </c:barChart>
      <c:catAx>
        <c:axId val="161257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78736"/>
        <c:crosses val="autoZero"/>
        <c:auto val="1"/>
        <c:lblAlgn val="ctr"/>
        <c:lblOffset val="100"/>
        <c:noMultiLvlLbl val="0"/>
      </c:catAx>
      <c:valAx>
        <c:axId val="1612578736"/>
        <c:scaling>
          <c:orientation val="minMax"/>
        </c:scaling>
        <c:delete val="1"/>
        <c:axPos val="b"/>
        <c:numFmt formatCode="[&gt;=1000000]\$0.0,,&quot;M&quot;;[&gt;=1000]\$0.0,&quot;K&quot;;0" sourceLinked="1"/>
        <c:majorTickMark val="none"/>
        <c:minorTickMark val="none"/>
        <c:tickLblPos val="nextTo"/>
        <c:crossAx val="161257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Project2.1.xlsx]Analysis!PivotTable9</c:name>
    <c:fmtId val="14"/>
  </c:pivotSource>
  <c:chart>
    <c:autoTitleDeleted val="1"/>
    <c:pivotFmts>
      <c:pivotFmt>
        <c:idx val="0"/>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F4411"/>
          </a:solidFill>
          <a:ln w="19050">
            <a:solidFill>
              <a:schemeClr val="lt1"/>
            </a:solidFill>
          </a:ln>
          <a:effectLst/>
        </c:spPr>
      </c:pivotFmt>
      <c:pivotFmt>
        <c:idx val="2"/>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w="19050">
            <a:solidFill>
              <a:schemeClr val="lt1"/>
            </a:solidFill>
          </a:ln>
          <a:effectLst/>
        </c:spPr>
      </c:pivotFmt>
      <c:pivotFmt>
        <c:idx val="4"/>
        <c:spPr>
          <a:solidFill>
            <a:srgbClr val="9F4411"/>
          </a:solidFill>
          <a:ln w="19050">
            <a:solidFill>
              <a:schemeClr val="lt1"/>
            </a:solidFill>
          </a:ln>
          <a:effectLst/>
        </c:spPr>
      </c:pivotFmt>
      <c:pivotFmt>
        <c:idx val="5"/>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noFill/>
          </a:ln>
          <a:effectLst/>
        </c:spPr>
        <c:dLbl>
          <c:idx val="0"/>
          <c:layout>
            <c:manualLayout>
              <c:x val="0.25"/>
              <c:y val="-1.3136288998357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F4411"/>
          </a:solidFill>
          <a:ln w="19050">
            <a:noFill/>
          </a:ln>
          <a:effectLst/>
        </c:spPr>
        <c:dLbl>
          <c:idx val="0"/>
          <c:layout>
            <c:manualLayout>
              <c:x val="-6.41025641025641E-3"/>
              <c:y val="0.190476190476190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15233192004841"/>
          <c:y val="0.1220723271660008"/>
          <c:w val="0.62243485189351333"/>
          <c:h val="0.68345787658895574"/>
        </c:manualLayout>
      </c:layout>
      <c:doughnutChart>
        <c:varyColors val="1"/>
        <c:ser>
          <c:idx val="0"/>
          <c:order val="0"/>
          <c:tx>
            <c:strRef>
              <c:f>Analysis!$P$50</c:f>
              <c:strCache>
                <c:ptCount val="1"/>
                <c:pt idx="0">
                  <c:v>Total</c:v>
                </c:pt>
              </c:strCache>
            </c:strRef>
          </c:tx>
          <c:spPr>
            <a:solidFill>
              <a:schemeClr val="accent6">
                <a:lumMod val="50000"/>
              </a:schemeClr>
            </a:solidFill>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0B43-4B1A-A9E6-D43079B1CDDB}"/>
              </c:ext>
            </c:extLst>
          </c:dPt>
          <c:dPt>
            <c:idx val="1"/>
            <c:bubble3D val="0"/>
            <c:spPr>
              <a:solidFill>
                <a:srgbClr val="9F4411"/>
              </a:solidFill>
              <a:ln w="19050">
                <a:noFill/>
              </a:ln>
              <a:effectLst/>
            </c:spPr>
            <c:extLst>
              <c:ext xmlns:c16="http://schemas.microsoft.com/office/drawing/2014/chart" uri="{C3380CC4-5D6E-409C-BE32-E72D297353CC}">
                <c16:uniqueId val="{00000003-0B43-4B1A-A9E6-D43079B1CDDB}"/>
              </c:ext>
            </c:extLst>
          </c:dPt>
          <c:dLbls>
            <c:dLbl>
              <c:idx val="0"/>
              <c:layout>
                <c:manualLayout>
                  <c:x val="0.25"/>
                  <c:y val="-1.3136288998357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43-4B1A-A9E6-D43079B1CDDB}"/>
                </c:ext>
              </c:extLst>
            </c:dLbl>
            <c:dLbl>
              <c:idx val="1"/>
              <c:layout>
                <c:manualLayout>
                  <c:x val="-6.41025641025641E-3"/>
                  <c:y val="0.190476190476190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43-4B1A-A9E6-D43079B1CD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Analysis!$O$51:$O$53</c:f>
              <c:strCache>
                <c:ptCount val="2"/>
                <c:pt idx="0">
                  <c:v>Electronics</c:v>
                </c:pt>
                <c:pt idx="1">
                  <c:v>Furniture</c:v>
                </c:pt>
              </c:strCache>
            </c:strRef>
          </c:cat>
          <c:val>
            <c:numRef>
              <c:f>Analysis!$P$51:$P$53</c:f>
              <c:numCache>
                <c:formatCode>0</c:formatCode>
                <c:ptCount val="2"/>
                <c:pt idx="0">
                  <c:v>741</c:v>
                </c:pt>
                <c:pt idx="1">
                  <c:v>493</c:v>
                </c:pt>
              </c:numCache>
            </c:numRef>
          </c:val>
          <c:extLst>
            <c:ext xmlns:c16="http://schemas.microsoft.com/office/drawing/2014/chart" uri="{C3380CC4-5D6E-409C-BE32-E72D297353CC}">
              <c16:uniqueId val="{00000004-0B43-4B1A-A9E6-D43079B1CDDB}"/>
            </c:ext>
          </c:extLst>
        </c:ser>
        <c:dLbls>
          <c:showLegendKey val="0"/>
          <c:showVal val="1"/>
          <c:showCatName val="0"/>
          <c:showSerName val="0"/>
          <c:showPercent val="0"/>
          <c:showBubbleSize val="0"/>
          <c:showLeaderLines val="1"/>
        </c:dLbls>
        <c:firstSliceAng val="276"/>
        <c:holeSize val="83"/>
      </c:doughnutChart>
      <c:spPr>
        <a:noFill/>
        <a:ln>
          <a:noFill/>
        </a:ln>
        <a:effectLst/>
      </c:spPr>
    </c:plotArea>
    <c:legend>
      <c:legendPos val="r"/>
      <c:layout>
        <c:manualLayout>
          <c:xMode val="edge"/>
          <c:yMode val="edge"/>
          <c:x val="0.64162578235412882"/>
          <c:y val="0.77532601528257239"/>
          <c:w val="0.33456458567679043"/>
          <c:h val="0.220589779218774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Project2.1.xlsx]Analysis!PivotTable19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F44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Analysis!$L$58</c:f>
              <c:strCache>
                <c:ptCount val="1"/>
                <c:pt idx="0">
                  <c:v>Total</c:v>
                </c:pt>
              </c:strCache>
            </c:strRef>
          </c:tx>
          <c:spPr>
            <a:solidFill>
              <a:srgbClr val="9F4411"/>
            </a:solidFill>
            <a:ln>
              <a:noFill/>
            </a:ln>
            <a:effectLst/>
          </c:spPr>
          <c:invertIfNegative val="0"/>
          <c:cat>
            <c:strRef>
              <c:f>Analysis!$K$59:$K$64</c:f>
              <c:strCache>
                <c:ptCount val="5"/>
                <c:pt idx="0">
                  <c:v>Desk</c:v>
                </c:pt>
                <c:pt idx="1">
                  <c:v>Keyboard</c:v>
                </c:pt>
                <c:pt idx="2">
                  <c:v>Laptop</c:v>
                </c:pt>
                <c:pt idx="3">
                  <c:v>Monitor</c:v>
                </c:pt>
                <c:pt idx="4">
                  <c:v>Office Chair</c:v>
                </c:pt>
              </c:strCache>
            </c:strRef>
          </c:cat>
          <c:val>
            <c:numRef>
              <c:f>Analysis!$L$59:$L$64</c:f>
              <c:numCache>
                <c:formatCode>[&gt;=1000000]\$0.0,,"M";[&gt;=1000]\$0.0,"K";0</c:formatCode>
                <c:ptCount val="5"/>
                <c:pt idx="0">
                  <c:v>80295</c:v>
                </c:pt>
                <c:pt idx="1">
                  <c:v>10978.5</c:v>
                </c:pt>
                <c:pt idx="2">
                  <c:v>174944</c:v>
                </c:pt>
                <c:pt idx="3">
                  <c:v>13702</c:v>
                </c:pt>
                <c:pt idx="4">
                  <c:v>30408</c:v>
                </c:pt>
              </c:numCache>
            </c:numRef>
          </c:val>
          <c:extLst>
            <c:ext xmlns:c16="http://schemas.microsoft.com/office/drawing/2014/chart" uri="{C3380CC4-5D6E-409C-BE32-E72D297353CC}">
              <c16:uniqueId val="{00000000-A037-4015-8336-92EEFEDCE2D1}"/>
            </c:ext>
          </c:extLst>
        </c:ser>
        <c:dLbls>
          <c:showLegendKey val="0"/>
          <c:showVal val="0"/>
          <c:showCatName val="0"/>
          <c:showSerName val="0"/>
          <c:showPercent val="0"/>
          <c:showBubbleSize val="0"/>
        </c:dLbls>
        <c:gapWidth val="182"/>
        <c:axId val="1574453984"/>
        <c:axId val="1574445344"/>
      </c:barChart>
      <c:catAx>
        <c:axId val="157445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445344"/>
        <c:crosses val="autoZero"/>
        <c:auto val="1"/>
        <c:lblAlgn val="ctr"/>
        <c:lblOffset val="100"/>
        <c:noMultiLvlLbl val="0"/>
      </c:catAx>
      <c:valAx>
        <c:axId val="1574445344"/>
        <c:scaling>
          <c:orientation val="minMax"/>
        </c:scaling>
        <c:delete val="1"/>
        <c:axPos val="b"/>
        <c:numFmt formatCode="[&gt;=1000000]\$0.0,,&quot;M&quot;;[&gt;=1000]\$0.0,&quot;K&quot;;0" sourceLinked="1"/>
        <c:majorTickMark val="none"/>
        <c:minorTickMark val="none"/>
        <c:tickLblPos val="nextTo"/>
        <c:crossAx val="1574453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Project2.1.xlsx]Analysis!PivotTable20</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9340D"/>
          </a:solidFill>
          <a:ln w="19050">
            <a:noFill/>
          </a:ln>
          <a:effectLst/>
        </c:spPr>
        <c:dLbl>
          <c:idx val="0"/>
          <c:layout>
            <c:manualLayout>
              <c:x val="-5.4105785823574622E-2"/>
              <c:y val="-0.130363460002282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F4411"/>
          </a:solidFill>
          <a:ln w="19050">
            <a:noFill/>
          </a:ln>
          <a:effectLst/>
        </c:spPr>
        <c:dLbl>
          <c:idx val="0"/>
          <c:layout>
            <c:manualLayout>
              <c:x val="-0.31216559626158513"/>
              <c:y val="-6.42228688805203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2.2526303342282998E-2"/>
              <c:y val="-0.10847141389934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pivotFmt>
    </c:pivotFmts>
    <c:plotArea>
      <c:layout>
        <c:manualLayout>
          <c:layoutTarget val="inner"/>
          <c:xMode val="edge"/>
          <c:yMode val="edge"/>
          <c:x val="0.12412315285362459"/>
          <c:y val="7.2463768115942032E-2"/>
          <c:w val="0.70964790183842974"/>
          <c:h val="0.73278899920118679"/>
        </c:manualLayout>
      </c:layout>
      <c:pieChart>
        <c:varyColors val="1"/>
        <c:ser>
          <c:idx val="0"/>
          <c:order val="0"/>
          <c:tx>
            <c:strRef>
              <c:f>Analysis!$T$61</c:f>
              <c:strCache>
                <c:ptCount val="1"/>
                <c:pt idx="0">
                  <c:v>Total</c:v>
                </c:pt>
              </c:strCache>
            </c:strRef>
          </c:tx>
          <c:spPr>
            <a:ln>
              <a:noFill/>
            </a:ln>
          </c:spPr>
          <c:dPt>
            <c:idx val="0"/>
            <c:bubble3D val="0"/>
            <c:spPr>
              <a:solidFill>
                <a:srgbClr val="79340D"/>
              </a:solidFill>
              <a:ln w="19050">
                <a:noFill/>
              </a:ln>
              <a:effectLst/>
            </c:spPr>
            <c:extLst>
              <c:ext xmlns:c16="http://schemas.microsoft.com/office/drawing/2014/chart" uri="{C3380CC4-5D6E-409C-BE32-E72D297353CC}">
                <c16:uniqueId val="{00000001-D7FD-41C2-AF8B-64672CCA3FCC}"/>
              </c:ext>
            </c:extLst>
          </c:dPt>
          <c:dPt>
            <c:idx val="1"/>
            <c:bubble3D val="0"/>
            <c:spPr>
              <a:solidFill>
                <a:srgbClr val="9F4411"/>
              </a:solidFill>
              <a:ln w="19050">
                <a:noFill/>
              </a:ln>
              <a:effectLst/>
            </c:spPr>
            <c:extLst>
              <c:ext xmlns:c16="http://schemas.microsoft.com/office/drawing/2014/chart" uri="{C3380CC4-5D6E-409C-BE32-E72D297353CC}">
                <c16:uniqueId val="{00000003-D7FD-41C2-AF8B-64672CCA3FCC}"/>
              </c:ext>
            </c:extLst>
          </c:dPt>
          <c:dPt>
            <c:idx val="2"/>
            <c:bubble3D val="0"/>
            <c:spPr>
              <a:solidFill>
                <a:schemeClr val="accent3"/>
              </a:solidFill>
              <a:ln w="19050">
                <a:noFill/>
              </a:ln>
              <a:effectLst/>
            </c:spPr>
            <c:extLst>
              <c:ext xmlns:c16="http://schemas.microsoft.com/office/drawing/2014/chart" uri="{C3380CC4-5D6E-409C-BE32-E72D297353CC}">
                <c16:uniqueId val="{00000005-D7FD-41C2-AF8B-64672CCA3FCC}"/>
              </c:ext>
            </c:extLst>
          </c:dPt>
          <c:dPt>
            <c:idx val="3"/>
            <c:bubble3D val="0"/>
            <c:spPr>
              <a:solidFill>
                <a:schemeClr val="accent4"/>
              </a:solidFill>
              <a:ln w="19050">
                <a:noFill/>
              </a:ln>
              <a:effectLst/>
            </c:spPr>
            <c:extLst>
              <c:ext xmlns:c16="http://schemas.microsoft.com/office/drawing/2014/chart" uri="{C3380CC4-5D6E-409C-BE32-E72D297353CC}">
                <c16:uniqueId val="{00000007-12D7-4D62-8B1B-E5726B11FA6F}"/>
              </c:ext>
            </c:extLst>
          </c:dPt>
          <c:dLbls>
            <c:dLbl>
              <c:idx val="0"/>
              <c:layout>
                <c:manualLayout>
                  <c:x val="-5.4105785823574622E-2"/>
                  <c:y val="-0.1303634600022823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FD-41C2-AF8B-64672CCA3FCC}"/>
                </c:ext>
              </c:extLst>
            </c:dLbl>
            <c:dLbl>
              <c:idx val="1"/>
              <c:layout>
                <c:manualLayout>
                  <c:x val="-0.31216559626158513"/>
                  <c:y val="-6.422286888052036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FD-41C2-AF8B-64672CCA3FCC}"/>
                </c:ext>
              </c:extLst>
            </c:dLbl>
            <c:dLbl>
              <c:idx val="2"/>
              <c:layout>
                <c:manualLayout>
                  <c:x val="2.2526303342282998E-2"/>
                  <c:y val="-0.1084714138993495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FD-41C2-AF8B-64672CCA3F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Analysis!$S$62:$S$66</c:f>
              <c:strCache>
                <c:ptCount val="4"/>
                <c:pt idx="0">
                  <c:v>High</c:v>
                </c:pt>
                <c:pt idx="1">
                  <c:v>Low</c:v>
                </c:pt>
                <c:pt idx="2">
                  <c:v>Medium</c:v>
                </c:pt>
                <c:pt idx="3">
                  <c:v>(blank)</c:v>
                </c:pt>
              </c:strCache>
            </c:strRef>
          </c:cat>
          <c:val>
            <c:numRef>
              <c:f>Analysis!$T$62:$T$66</c:f>
              <c:numCache>
                <c:formatCode>[&gt;=1000000]\$0.0,,"M";[&gt;=1000]\$0.0,"K";0</c:formatCode>
                <c:ptCount val="4"/>
                <c:pt idx="0">
                  <c:v>116240</c:v>
                </c:pt>
                <c:pt idx="1">
                  <c:v>92312.700000000012</c:v>
                </c:pt>
                <c:pt idx="2">
                  <c:v>105826</c:v>
                </c:pt>
              </c:numCache>
            </c:numRef>
          </c:val>
          <c:extLst>
            <c:ext xmlns:c16="http://schemas.microsoft.com/office/drawing/2014/chart" uri="{C3380CC4-5D6E-409C-BE32-E72D297353CC}">
              <c16:uniqueId val="{00000006-D7FD-41C2-AF8B-64672CCA3FC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15691992986880515"/>
          <c:y val="0.87771653543307082"/>
          <c:w val="0.57211156297770482"/>
          <c:h val="0.122283612853478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8.png"/><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542924</xdr:colOff>
      <xdr:row>1</xdr:row>
      <xdr:rowOff>76200</xdr:rowOff>
    </xdr:from>
    <xdr:to>
      <xdr:col>20</xdr:col>
      <xdr:colOff>247649</xdr:colOff>
      <xdr:row>36</xdr:row>
      <xdr:rowOff>66675</xdr:rowOff>
    </xdr:to>
    <xdr:sp macro="" textlink="">
      <xdr:nvSpPr>
        <xdr:cNvPr id="2" name="Rectangle: Rounded Corners 1">
          <a:extLst>
            <a:ext uri="{FF2B5EF4-FFF2-40B4-BE49-F238E27FC236}">
              <a16:creationId xmlns:a16="http://schemas.microsoft.com/office/drawing/2014/main" id="{A8CF1FF4-D518-D929-389A-BF0885089FA0}"/>
            </a:ext>
          </a:extLst>
        </xdr:cNvPr>
        <xdr:cNvSpPr/>
      </xdr:nvSpPr>
      <xdr:spPr>
        <a:xfrm>
          <a:off x="1762124" y="76200"/>
          <a:ext cx="10677525" cy="6324600"/>
        </a:xfrm>
        <a:prstGeom prst="roundRect">
          <a:avLst>
            <a:gd name="adj" fmla="val 3344"/>
          </a:avLst>
        </a:prstGeom>
        <a:solidFill>
          <a:schemeClr val="bg1">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28575</xdr:colOff>
      <xdr:row>6</xdr:row>
      <xdr:rowOff>9524</xdr:rowOff>
    </xdr:from>
    <xdr:to>
      <xdr:col>5</xdr:col>
      <xdr:colOff>15240</xdr:colOff>
      <xdr:row>35</xdr:row>
      <xdr:rowOff>180974</xdr:rowOff>
    </xdr:to>
    <xdr:sp macro="" textlink="">
      <xdr:nvSpPr>
        <xdr:cNvPr id="10" name="Rectangle: Rounded Corners 9">
          <a:extLst>
            <a:ext uri="{FF2B5EF4-FFF2-40B4-BE49-F238E27FC236}">
              <a16:creationId xmlns:a16="http://schemas.microsoft.com/office/drawing/2014/main" id="{EC96BA95-731E-34E9-6C09-F628D8625693}"/>
            </a:ext>
          </a:extLst>
        </xdr:cNvPr>
        <xdr:cNvSpPr/>
      </xdr:nvSpPr>
      <xdr:spPr>
        <a:xfrm>
          <a:off x="1857375" y="914399"/>
          <a:ext cx="1205865" cy="541972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38100</xdr:colOff>
      <xdr:row>2</xdr:row>
      <xdr:rowOff>9526</xdr:rowOff>
    </xdr:from>
    <xdr:to>
      <xdr:col>20</xdr:col>
      <xdr:colOff>171450</xdr:colOff>
      <xdr:row>5</xdr:row>
      <xdr:rowOff>121921</xdr:rowOff>
    </xdr:to>
    <xdr:sp macro="" textlink="">
      <xdr:nvSpPr>
        <xdr:cNvPr id="11" name="Rectangle: Rounded Corners 10">
          <a:extLst>
            <a:ext uri="{FF2B5EF4-FFF2-40B4-BE49-F238E27FC236}">
              <a16:creationId xmlns:a16="http://schemas.microsoft.com/office/drawing/2014/main" id="{D84112BC-E3A5-4C4C-919A-ED55A8ADA471}"/>
            </a:ext>
          </a:extLst>
        </xdr:cNvPr>
        <xdr:cNvSpPr/>
      </xdr:nvSpPr>
      <xdr:spPr>
        <a:xfrm>
          <a:off x="3086100" y="190501"/>
          <a:ext cx="9277350" cy="65532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352425</xdr:colOff>
      <xdr:row>6</xdr:row>
      <xdr:rowOff>8211</xdr:rowOff>
    </xdr:from>
    <xdr:to>
      <xdr:col>20</xdr:col>
      <xdr:colOff>180974</xdr:colOff>
      <xdr:row>10</xdr:row>
      <xdr:rowOff>108711</xdr:rowOff>
    </xdr:to>
    <xdr:sp macro="" textlink="">
      <xdr:nvSpPr>
        <xdr:cNvPr id="13" name="Rectangle: Rounded Corners 12">
          <a:extLst>
            <a:ext uri="{FF2B5EF4-FFF2-40B4-BE49-F238E27FC236}">
              <a16:creationId xmlns:a16="http://schemas.microsoft.com/office/drawing/2014/main" id="{60FD1B9E-42F5-414A-974E-B2DD60247C67}"/>
            </a:ext>
          </a:extLst>
        </xdr:cNvPr>
        <xdr:cNvSpPr/>
      </xdr:nvSpPr>
      <xdr:spPr>
        <a:xfrm>
          <a:off x="10106025" y="913086"/>
          <a:ext cx="2266949" cy="8244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66675</xdr:colOff>
      <xdr:row>6</xdr:row>
      <xdr:rowOff>8211</xdr:rowOff>
    </xdr:from>
    <xdr:to>
      <xdr:col>8</xdr:col>
      <xdr:colOff>553500</xdr:colOff>
      <xdr:row>10</xdr:row>
      <xdr:rowOff>108711</xdr:rowOff>
    </xdr:to>
    <xdr:sp macro="" textlink="">
      <xdr:nvSpPr>
        <xdr:cNvPr id="16" name="Rectangle: Rounded Corners 15">
          <a:extLst>
            <a:ext uri="{FF2B5EF4-FFF2-40B4-BE49-F238E27FC236}">
              <a16:creationId xmlns:a16="http://schemas.microsoft.com/office/drawing/2014/main" id="{65E83FBC-DA3A-4A4A-A591-A326E0AA6C3D}"/>
            </a:ext>
          </a:extLst>
        </xdr:cNvPr>
        <xdr:cNvSpPr/>
      </xdr:nvSpPr>
      <xdr:spPr>
        <a:xfrm>
          <a:off x="3114675" y="913086"/>
          <a:ext cx="2315625" cy="8244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598170</xdr:colOff>
      <xdr:row>6</xdr:row>
      <xdr:rowOff>8931</xdr:rowOff>
    </xdr:from>
    <xdr:to>
      <xdr:col>12</xdr:col>
      <xdr:colOff>427770</xdr:colOff>
      <xdr:row>10</xdr:row>
      <xdr:rowOff>107991</xdr:rowOff>
    </xdr:to>
    <xdr:sp macro="" textlink="">
      <xdr:nvSpPr>
        <xdr:cNvPr id="17" name="Rectangle: Rounded Corners 16">
          <a:extLst>
            <a:ext uri="{FF2B5EF4-FFF2-40B4-BE49-F238E27FC236}">
              <a16:creationId xmlns:a16="http://schemas.microsoft.com/office/drawing/2014/main" id="{FFAEE427-32EB-4116-9952-F57772596568}"/>
            </a:ext>
          </a:extLst>
        </xdr:cNvPr>
        <xdr:cNvSpPr/>
      </xdr:nvSpPr>
      <xdr:spPr>
        <a:xfrm>
          <a:off x="5474970" y="913806"/>
          <a:ext cx="2268000" cy="8229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478155</xdr:colOff>
      <xdr:row>6</xdr:row>
      <xdr:rowOff>10011</xdr:rowOff>
    </xdr:from>
    <xdr:to>
      <xdr:col>16</xdr:col>
      <xdr:colOff>307755</xdr:colOff>
      <xdr:row>10</xdr:row>
      <xdr:rowOff>106911</xdr:rowOff>
    </xdr:to>
    <xdr:sp macro="" textlink="">
      <xdr:nvSpPr>
        <xdr:cNvPr id="18" name="Rectangle: Rounded Corners 17">
          <a:extLst>
            <a:ext uri="{FF2B5EF4-FFF2-40B4-BE49-F238E27FC236}">
              <a16:creationId xmlns:a16="http://schemas.microsoft.com/office/drawing/2014/main" id="{2C6A9BB9-71DB-412A-BC28-B92DA653A05A}"/>
            </a:ext>
          </a:extLst>
        </xdr:cNvPr>
        <xdr:cNvSpPr/>
      </xdr:nvSpPr>
      <xdr:spPr>
        <a:xfrm>
          <a:off x="7793355" y="914886"/>
          <a:ext cx="2268000" cy="8208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85725</xdr:colOff>
      <xdr:row>11</xdr:row>
      <xdr:rowOff>9526</xdr:rowOff>
    </xdr:from>
    <xdr:to>
      <xdr:col>11</xdr:col>
      <xdr:colOff>600075</xdr:colOff>
      <xdr:row>22</xdr:row>
      <xdr:rowOff>152401</xdr:rowOff>
    </xdr:to>
    <xdr:sp macro="" textlink="">
      <xdr:nvSpPr>
        <xdr:cNvPr id="19" name="Rectangle: Rounded Corners 18">
          <a:extLst>
            <a:ext uri="{FF2B5EF4-FFF2-40B4-BE49-F238E27FC236}">
              <a16:creationId xmlns:a16="http://schemas.microsoft.com/office/drawing/2014/main" id="{C2E4C91D-2490-4939-9414-0AA627A5EBD5}"/>
            </a:ext>
          </a:extLst>
        </xdr:cNvPr>
        <xdr:cNvSpPr/>
      </xdr:nvSpPr>
      <xdr:spPr>
        <a:xfrm>
          <a:off x="3133725" y="1819276"/>
          <a:ext cx="4171950" cy="2133600"/>
        </a:xfrm>
        <a:prstGeom prst="roundRect">
          <a:avLst>
            <a:gd name="adj" fmla="val 385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23</xdr:row>
      <xdr:rowOff>66675</xdr:rowOff>
    </xdr:from>
    <xdr:to>
      <xdr:col>8</xdr:col>
      <xdr:colOff>514350</xdr:colOff>
      <xdr:row>36</xdr:row>
      <xdr:rowOff>9525</xdr:rowOff>
    </xdr:to>
    <xdr:sp macro="" textlink="">
      <xdr:nvSpPr>
        <xdr:cNvPr id="20" name="Rectangle: Rounded Corners 19">
          <a:extLst>
            <a:ext uri="{FF2B5EF4-FFF2-40B4-BE49-F238E27FC236}">
              <a16:creationId xmlns:a16="http://schemas.microsoft.com/office/drawing/2014/main" id="{6123BEF5-0E7C-4A47-8740-ECC40412BEB2}"/>
            </a:ext>
          </a:extLst>
        </xdr:cNvPr>
        <xdr:cNvSpPr/>
      </xdr:nvSpPr>
      <xdr:spPr>
        <a:xfrm>
          <a:off x="3133725" y="4048125"/>
          <a:ext cx="2257425" cy="2295525"/>
        </a:xfrm>
        <a:prstGeom prst="roundRect">
          <a:avLst>
            <a:gd name="adj" fmla="val 6880"/>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577215</xdr:colOff>
      <xdr:row>23</xdr:row>
      <xdr:rowOff>66675</xdr:rowOff>
    </xdr:from>
    <xdr:to>
      <xdr:col>14</xdr:col>
      <xdr:colOff>123825</xdr:colOff>
      <xdr:row>36</xdr:row>
      <xdr:rowOff>9525</xdr:rowOff>
    </xdr:to>
    <xdr:sp macro="" textlink="">
      <xdr:nvSpPr>
        <xdr:cNvPr id="21" name="Rectangle: Rounded Corners 20">
          <a:extLst>
            <a:ext uri="{FF2B5EF4-FFF2-40B4-BE49-F238E27FC236}">
              <a16:creationId xmlns:a16="http://schemas.microsoft.com/office/drawing/2014/main" id="{C01B17CD-3F1F-4AE1-98BB-60157BB8A737}"/>
            </a:ext>
          </a:extLst>
        </xdr:cNvPr>
        <xdr:cNvSpPr/>
      </xdr:nvSpPr>
      <xdr:spPr>
        <a:xfrm>
          <a:off x="5454015" y="4048125"/>
          <a:ext cx="3204210" cy="2295525"/>
        </a:xfrm>
        <a:prstGeom prst="roundRect">
          <a:avLst>
            <a:gd name="adj" fmla="val 517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171450</xdr:colOff>
      <xdr:row>23</xdr:row>
      <xdr:rowOff>66675</xdr:rowOff>
    </xdr:from>
    <xdr:to>
      <xdr:col>20</xdr:col>
      <xdr:colOff>180975</xdr:colOff>
      <xdr:row>36</xdr:row>
      <xdr:rowOff>9525</xdr:rowOff>
    </xdr:to>
    <xdr:sp macro="" textlink="">
      <xdr:nvSpPr>
        <xdr:cNvPr id="23" name="Rectangle: Rounded Corners 22">
          <a:extLst>
            <a:ext uri="{FF2B5EF4-FFF2-40B4-BE49-F238E27FC236}">
              <a16:creationId xmlns:a16="http://schemas.microsoft.com/office/drawing/2014/main" id="{DF1D4894-88E0-4632-98D2-7924CDB2C8BB}"/>
            </a:ext>
          </a:extLst>
        </xdr:cNvPr>
        <xdr:cNvSpPr/>
      </xdr:nvSpPr>
      <xdr:spPr>
        <a:xfrm>
          <a:off x="8705850" y="4048125"/>
          <a:ext cx="3667125" cy="2295525"/>
        </a:xfrm>
        <a:prstGeom prst="roundRect">
          <a:avLst>
            <a:gd name="adj" fmla="val 6029"/>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66674</xdr:colOff>
      <xdr:row>11</xdr:row>
      <xdr:rowOff>19051</xdr:rowOff>
    </xdr:from>
    <xdr:to>
      <xdr:col>20</xdr:col>
      <xdr:colOff>171450</xdr:colOff>
      <xdr:row>22</xdr:row>
      <xdr:rowOff>142876</xdr:rowOff>
    </xdr:to>
    <xdr:sp macro="" textlink="">
      <xdr:nvSpPr>
        <xdr:cNvPr id="25" name="Rectangle: Rounded Corners 24">
          <a:extLst>
            <a:ext uri="{FF2B5EF4-FFF2-40B4-BE49-F238E27FC236}">
              <a16:creationId xmlns:a16="http://schemas.microsoft.com/office/drawing/2014/main" id="{46436D8F-6C32-4F1C-ACC0-0DBD8386BF6C}"/>
            </a:ext>
          </a:extLst>
        </xdr:cNvPr>
        <xdr:cNvSpPr/>
      </xdr:nvSpPr>
      <xdr:spPr>
        <a:xfrm>
          <a:off x="7381874" y="1828801"/>
          <a:ext cx="4981576" cy="2114550"/>
        </a:xfrm>
        <a:prstGeom prst="roundRect">
          <a:avLst>
            <a:gd name="adj" fmla="val 385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5</xdr:col>
      <xdr:colOff>152399</xdr:colOff>
      <xdr:row>7</xdr:row>
      <xdr:rowOff>47624</xdr:rowOff>
    </xdr:from>
    <xdr:ext cx="1647826" cy="405432"/>
    <xdr:sp macro="" textlink="Analysis!L30">
      <xdr:nvSpPr>
        <xdr:cNvPr id="26" name="TextBox 25">
          <a:extLst>
            <a:ext uri="{FF2B5EF4-FFF2-40B4-BE49-F238E27FC236}">
              <a16:creationId xmlns:a16="http://schemas.microsoft.com/office/drawing/2014/main" id="{3B3D22CF-B890-56B1-27B6-7A6B98EB05F1}"/>
            </a:ext>
          </a:extLst>
        </xdr:cNvPr>
        <xdr:cNvSpPr txBox="1"/>
      </xdr:nvSpPr>
      <xdr:spPr>
        <a:xfrm>
          <a:off x="3200399" y="1133474"/>
          <a:ext cx="164782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326BE16-BE10-471F-B11E-F7ACFB37F54C}" type="TxLink">
            <a:rPr lang="en-US" sz="2000" b="1" i="0" u="none" strike="noStrike">
              <a:solidFill>
                <a:srgbClr val="000000"/>
              </a:solidFill>
              <a:latin typeface="Aptos Narrow"/>
            </a:rPr>
            <a:pPr/>
            <a:t>$314.4K</a:t>
          </a:fld>
          <a:endParaRPr lang="en-GB" sz="2000" b="1"/>
        </a:p>
      </xdr:txBody>
    </xdr:sp>
    <xdr:clientData/>
  </xdr:oneCellAnchor>
  <xdr:oneCellAnchor>
    <xdr:from>
      <xdr:col>5</xdr:col>
      <xdr:colOff>209550</xdr:colOff>
      <xdr:row>6</xdr:row>
      <xdr:rowOff>19050</xdr:rowOff>
    </xdr:from>
    <xdr:ext cx="1200150" cy="247650"/>
    <xdr:sp macro="" textlink="Analysis!K30">
      <xdr:nvSpPr>
        <xdr:cNvPr id="27" name="TextBox 26">
          <a:extLst>
            <a:ext uri="{FF2B5EF4-FFF2-40B4-BE49-F238E27FC236}">
              <a16:creationId xmlns:a16="http://schemas.microsoft.com/office/drawing/2014/main" id="{76F2464A-DE68-507B-B6DC-19062936B869}"/>
            </a:ext>
          </a:extLst>
        </xdr:cNvPr>
        <xdr:cNvSpPr txBox="1"/>
      </xdr:nvSpPr>
      <xdr:spPr>
        <a:xfrm>
          <a:off x="3257550" y="923925"/>
          <a:ext cx="1200150"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E4E832A-FFA3-423A-81C9-2BAA66C00E93}" type="TxLink">
            <a:rPr lang="en-US" sz="1100" b="1" i="0" u="none" strike="noStrike">
              <a:solidFill>
                <a:srgbClr val="000000"/>
              </a:solidFill>
              <a:latin typeface="Aptos Narrow"/>
            </a:rPr>
            <a:pPr/>
            <a:t>Total Net Sales</a:t>
          </a:fld>
          <a:endParaRPr lang="en-GB" sz="1100" b="1"/>
        </a:p>
      </xdr:txBody>
    </xdr:sp>
    <xdr:clientData/>
  </xdr:oneCellAnchor>
  <xdr:twoCellAnchor editAs="oneCell">
    <xdr:from>
      <xdr:col>7</xdr:col>
      <xdr:colOff>571500</xdr:colOff>
      <xdr:row>6</xdr:row>
      <xdr:rowOff>95250</xdr:rowOff>
    </xdr:from>
    <xdr:to>
      <xdr:col>8</xdr:col>
      <xdr:colOff>352425</xdr:colOff>
      <xdr:row>8</xdr:row>
      <xdr:rowOff>85724</xdr:rowOff>
    </xdr:to>
    <xdr:pic>
      <xdr:nvPicPr>
        <xdr:cNvPr id="29" name="Graphic 28" descr="Money with solid fill">
          <a:extLst>
            <a:ext uri="{FF2B5EF4-FFF2-40B4-BE49-F238E27FC236}">
              <a16:creationId xmlns:a16="http://schemas.microsoft.com/office/drawing/2014/main" id="{F034F058-6AD4-B0DF-26C0-E57617F7BA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38700" y="1000125"/>
          <a:ext cx="390525" cy="352424"/>
        </a:xfrm>
        <a:prstGeom prst="rect">
          <a:avLst/>
        </a:prstGeom>
      </xdr:spPr>
    </xdr:pic>
    <xdr:clientData/>
  </xdr:twoCellAnchor>
  <xdr:oneCellAnchor>
    <xdr:from>
      <xdr:col>9</xdr:col>
      <xdr:colOff>104775</xdr:colOff>
      <xdr:row>6</xdr:row>
      <xdr:rowOff>19050</xdr:rowOff>
    </xdr:from>
    <xdr:ext cx="1200150" cy="247650"/>
    <xdr:sp macro="" textlink="Analysis!K31">
      <xdr:nvSpPr>
        <xdr:cNvPr id="30" name="TextBox 29">
          <a:extLst>
            <a:ext uri="{FF2B5EF4-FFF2-40B4-BE49-F238E27FC236}">
              <a16:creationId xmlns:a16="http://schemas.microsoft.com/office/drawing/2014/main" id="{D279DFF8-0C37-4FFC-8D56-B8B69FE13A86}"/>
            </a:ext>
          </a:extLst>
        </xdr:cNvPr>
        <xdr:cNvSpPr txBox="1"/>
      </xdr:nvSpPr>
      <xdr:spPr>
        <a:xfrm>
          <a:off x="5591175" y="923925"/>
          <a:ext cx="1200150"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5A5EDE9-55A0-49ED-90CB-9BA5C422B8D2}" type="TxLink">
            <a:rPr lang="en-US" sz="1100" b="1" i="0" u="none" strike="noStrike">
              <a:solidFill>
                <a:srgbClr val="000000"/>
              </a:solidFill>
              <a:latin typeface="Aptos Narrow"/>
            </a:rPr>
            <a:pPr/>
            <a:t>Total Orders</a:t>
          </a:fld>
          <a:endParaRPr lang="en-GB" sz="1100" b="1"/>
        </a:p>
      </xdr:txBody>
    </xdr:sp>
    <xdr:clientData/>
  </xdr:oneCellAnchor>
  <xdr:oneCellAnchor>
    <xdr:from>
      <xdr:col>12</xdr:col>
      <xdr:colOff>552450</xdr:colOff>
      <xdr:row>6</xdr:row>
      <xdr:rowOff>19049</xdr:rowOff>
    </xdr:from>
    <xdr:ext cx="1504950" cy="257175"/>
    <xdr:sp macro="" textlink="Analysis!K32">
      <xdr:nvSpPr>
        <xdr:cNvPr id="31" name="TextBox 30">
          <a:extLst>
            <a:ext uri="{FF2B5EF4-FFF2-40B4-BE49-F238E27FC236}">
              <a16:creationId xmlns:a16="http://schemas.microsoft.com/office/drawing/2014/main" id="{55F441D7-830D-42C2-A5E9-AFBBE9DE5DD9}"/>
            </a:ext>
          </a:extLst>
        </xdr:cNvPr>
        <xdr:cNvSpPr txBox="1"/>
      </xdr:nvSpPr>
      <xdr:spPr>
        <a:xfrm>
          <a:off x="7867650" y="923924"/>
          <a:ext cx="1504950" cy="257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4557FA6-F5B5-4160-B224-D0407B7651A5}" type="TxLink">
            <a:rPr lang="en-US" sz="1100" b="1" i="0" u="none" strike="noStrike">
              <a:solidFill>
                <a:srgbClr val="000000"/>
              </a:solidFill>
              <a:latin typeface="Aptos Narrow"/>
            </a:rPr>
            <a:pPr/>
            <a:t>Total AOV</a:t>
          </a:fld>
          <a:endParaRPr lang="en-GB" sz="1100" b="1"/>
        </a:p>
      </xdr:txBody>
    </xdr:sp>
    <xdr:clientData/>
  </xdr:oneCellAnchor>
  <xdr:oneCellAnchor>
    <xdr:from>
      <xdr:col>16</xdr:col>
      <xdr:colOff>447674</xdr:colOff>
      <xdr:row>6</xdr:row>
      <xdr:rowOff>19050</xdr:rowOff>
    </xdr:from>
    <xdr:ext cx="1476375" cy="238125"/>
    <xdr:sp macro="" textlink="Analysis!K33">
      <xdr:nvSpPr>
        <xdr:cNvPr id="32" name="TextBox 31">
          <a:extLst>
            <a:ext uri="{FF2B5EF4-FFF2-40B4-BE49-F238E27FC236}">
              <a16:creationId xmlns:a16="http://schemas.microsoft.com/office/drawing/2014/main" id="{E182CB39-A41C-42F3-AA16-39536E788E23}"/>
            </a:ext>
          </a:extLst>
        </xdr:cNvPr>
        <xdr:cNvSpPr txBox="1"/>
      </xdr:nvSpPr>
      <xdr:spPr>
        <a:xfrm>
          <a:off x="10201274" y="923925"/>
          <a:ext cx="1476375"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6174571-2B6F-4AF2-AF20-74092001D981}" type="TxLink">
            <a:rPr lang="en-US" sz="1100" b="1" i="0" u="none" strike="noStrike">
              <a:solidFill>
                <a:srgbClr val="000000"/>
              </a:solidFill>
              <a:latin typeface="Aptos Narrow"/>
            </a:rPr>
            <a:pPr/>
            <a:t>Total Discount Given</a:t>
          </a:fld>
          <a:endParaRPr lang="en-GB" sz="1100" b="1"/>
        </a:p>
      </xdr:txBody>
    </xdr:sp>
    <xdr:clientData/>
  </xdr:oneCellAnchor>
  <xdr:twoCellAnchor editAs="oneCell">
    <xdr:from>
      <xdr:col>11</xdr:col>
      <xdr:colOff>409576</xdr:colOff>
      <xdr:row>6</xdr:row>
      <xdr:rowOff>76200</xdr:rowOff>
    </xdr:from>
    <xdr:to>
      <xdr:col>12</xdr:col>
      <xdr:colOff>221954</xdr:colOff>
      <xdr:row>8</xdr:row>
      <xdr:rowOff>67050</xdr:rowOff>
    </xdr:to>
    <xdr:pic>
      <xdr:nvPicPr>
        <xdr:cNvPr id="34" name="Graphic 33" descr="Shopping cart with solid fill">
          <a:extLst>
            <a:ext uri="{FF2B5EF4-FFF2-40B4-BE49-F238E27FC236}">
              <a16:creationId xmlns:a16="http://schemas.microsoft.com/office/drawing/2014/main" id="{C71B9419-E57D-999E-F2BC-F37A22B695D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15176" y="981075"/>
          <a:ext cx="421978" cy="352800"/>
        </a:xfrm>
        <a:prstGeom prst="rect">
          <a:avLst/>
        </a:prstGeom>
      </xdr:spPr>
    </xdr:pic>
    <xdr:clientData/>
  </xdr:twoCellAnchor>
  <xdr:oneCellAnchor>
    <xdr:from>
      <xdr:col>9</xdr:col>
      <xdr:colOff>123825</xdr:colOff>
      <xdr:row>7</xdr:row>
      <xdr:rowOff>38100</xdr:rowOff>
    </xdr:from>
    <xdr:ext cx="952500" cy="405432"/>
    <xdr:sp macro="" textlink="Analysis!L31">
      <xdr:nvSpPr>
        <xdr:cNvPr id="35" name="TextBox 34">
          <a:extLst>
            <a:ext uri="{FF2B5EF4-FFF2-40B4-BE49-F238E27FC236}">
              <a16:creationId xmlns:a16="http://schemas.microsoft.com/office/drawing/2014/main" id="{1949805D-EF6D-45F9-829E-E78690D31903}"/>
            </a:ext>
          </a:extLst>
        </xdr:cNvPr>
        <xdr:cNvSpPr txBox="1"/>
      </xdr:nvSpPr>
      <xdr:spPr>
        <a:xfrm>
          <a:off x="5610225" y="1123950"/>
          <a:ext cx="9525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E4733EB5-BAFA-495E-A0A1-CC23640364EA}" type="TxLink">
            <a:rPr lang="en-US" sz="2000" b="1" i="0" u="none" strike="noStrike">
              <a:solidFill>
                <a:srgbClr val="000000"/>
              </a:solidFill>
              <a:latin typeface="Aptos Narrow"/>
              <a:ea typeface="+mn-ea"/>
              <a:cs typeface="+mn-cs"/>
            </a:rPr>
            <a:pPr marL="0" indent="0"/>
            <a:t>500</a:t>
          </a:fld>
          <a:endParaRPr lang="en-GB" sz="2000" b="1" i="0" u="none" strike="noStrike">
            <a:solidFill>
              <a:srgbClr val="000000"/>
            </a:solidFill>
            <a:latin typeface="Aptos Narrow"/>
            <a:ea typeface="+mn-ea"/>
            <a:cs typeface="+mn-cs"/>
          </a:endParaRPr>
        </a:p>
      </xdr:txBody>
    </xdr:sp>
    <xdr:clientData/>
  </xdr:oneCellAnchor>
  <xdr:oneCellAnchor>
    <xdr:from>
      <xdr:col>12</xdr:col>
      <xdr:colOff>523875</xdr:colOff>
      <xdr:row>7</xdr:row>
      <xdr:rowOff>47625</xdr:rowOff>
    </xdr:from>
    <xdr:ext cx="1171575" cy="405432"/>
    <xdr:sp macro="" textlink="Analysis!L32">
      <xdr:nvSpPr>
        <xdr:cNvPr id="36" name="TextBox 35">
          <a:extLst>
            <a:ext uri="{FF2B5EF4-FFF2-40B4-BE49-F238E27FC236}">
              <a16:creationId xmlns:a16="http://schemas.microsoft.com/office/drawing/2014/main" id="{8A51937A-57E1-4EB8-915D-28308C97C340}"/>
            </a:ext>
          </a:extLst>
        </xdr:cNvPr>
        <xdr:cNvSpPr txBox="1"/>
      </xdr:nvSpPr>
      <xdr:spPr>
        <a:xfrm>
          <a:off x="7839075" y="1133475"/>
          <a:ext cx="11715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49455F3-A956-4CA8-BBC9-2E3CC1812915}" type="TxLink">
            <a:rPr lang="en-US" sz="2000" b="1" i="0" u="none" strike="noStrike">
              <a:solidFill>
                <a:srgbClr val="000000"/>
              </a:solidFill>
              <a:latin typeface="Aptos Narrow"/>
              <a:ea typeface="+mn-ea"/>
              <a:cs typeface="+mn-cs"/>
            </a:rPr>
            <a:pPr marL="0" indent="0"/>
            <a:t>629</a:t>
          </a:fld>
          <a:endParaRPr lang="en-GB" sz="2000" b="1" i="0" u="none" strike="noStrike">
            <a:solidFill>
              <a:srgbClr val="000000"/>
            </a:solidFill>
            <a:latin typeface="Aptos Narrow"/>
            <a:ea typeface="+mn-ea"/>
            <a:cs typeface="+mn-cs"/>
          </a:endParaRPr>
        </a:p>
      </xdr:txBody>
    </xdr:sp>
    <xdr:clientData/>
  </xdr:oneCellAnchor>
  <xdr:oneCellAnchor>
    <xdr:from>
      <xdr:col>16</xdr:col>
      <xdr:colOff>409575</xdr:colOff>
      <xdr:row>7</xdr:row>
      <xdr:rowOff>47625</xdr:rowOff>
    </xdr:from>
    <xdr:ext cx="1476375" cy="405432"/>
    <xdr:sp macro="" textlink="Analysis!L33">
      <xdr:nvSpPr>
        <xdr:cNvPr id="37" name="TextBox 36">
          <a:extLst>
            <a:ext uri="{FF2B5EF4-FFF2-40B4-BE49-F238E27FC236}">
              <a16:creationId xmlns:a16="http://schemas.microsoft.com/office/drawing/2014/main" id="{0056817F-D801-444C-BBD6-449125822C49}"/>
            </a:ext>
          </a:extLst>
        </xdr:cNvPr>
        <xdr:cNvSpPr txBox="1"/>
      </xdr:nvSpPr>
      <xdr:spPr>
        <a:xfrm>
          <a:off x="10163175" y="1133475"/>
          <a:ext cx="14763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96EA266-5813-48D7-97B6-62B19E88FFA7}" type="TxLink">
            <a:rPr lang="en-US" sz="2000" b="1" i="0" u="none" strike="noStrike">
              <a:solidFill>
                <a:srgbClr val="000000"/>
              </a:solidFill>
              <a:latin typeface="Aptos Narrow"/>
              <a:ea typeface="+mn-ea"/>
              <a:cs typeface="+mn-cs"/>
            </a:rPr>
            <a:pPr marL="0" indent="0"/>
            <a:t>$14.8K</a:t>
          </a:fld>
          <a:endParaRPr lang="en-GB" sz="2000" b="1" i="0" u="none" strike="noStrike">
            <a:solidFill>
              <a:srgbClr val="000000"/>
            </a:solidFill>
            <a:latin typeface="Aptos Narrow"/>
            <a:ea typeface="+mn-ea"/>
            <a:cs typeface="+mn-cs"/>
          </a:endParaRPr>
        </a:p>
      </xdr:txBody>
    </xdr:sp>
    <xdr:clientData/>
  </xdr:oneCellAnchor>
  <xdr:twoCellAnchor editAs="oneCell">
    <xdr:from>
      <xdr:col>15</xdr:col>
      <xdr:colOff>361950</xdr:colOff>
      <xdr:row>6</xdr:row>
      <xdr:rowOff>9525</xdr:rowOff>
    </xdr:from>
    <xdr:to>
      <xdr:col>16</xdr:col>
      <xdr:colOff>144750</xdr:colOff>
      <xdr:row>8</xdr:row>
      <xdr:rowOff>136071</xdr:rowOff>
    </xdr:to>
    <xdr:pic>
      <xdr:nvPicPr>
        <xdr:cNvPr id="41" name="Graphic 40" descr="Newspaper with solid fill">
          <a:extLst>
            <a:ext uri="{FF2B5EF4-FFF2-40B4-BE49-F238E27FC236}">
              <a16:creationId xmlns:a16="http://schemas.microsoft.com/office/drawing/2014/main" id="{873BFBF7-8A71-7A13-3E05-5605C47B946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505950" y="914400"/>
          <a:ext cx="392400" cy="488496"/>
        </a:xfrm>
        <a:prstGeom prst="rect">
          <a:avLst/>
        </a:prstGeom>
      </xdr:spPr>
    </xdr:pic>
    <xdr:clientData/>
  </xdr:twoCellAnchor>
  <xdr:twoCellAnchor editAs="oneCell">
    <xdr:from>
      <xdr:col>19</xdr:col>
      <xdr:colOff>257175</xdr:colOff>
      <xdr:row>6</xdr:row>
      <xdr:rowOff>104775</xdr:rowOff>
    </xdr:from>
    <xdr:to>
      <xdr:col>20</xdr:col>
      <xdr:colOff>39975</xdr:colOff>
      <xdr:row>8</xdr:row>
      <xdr:rowOff>111202</xdr:rowOff>
    </xdr:to>
    <xdr:pic>
      <xdr:nvPicPr>
        <xdr:cNvPr id="50" name="Picture 49">
          <a:extLst>
            <a:ext uri="{FF2B5EF4-FFF2-40B4-BE49-F238E27FC236}">
              <a16:creationId xmlns:a16="http://schemas.microsoft.com/office/drawing/2014/main" id="{609644D2-F49E-5877-4DD8-C2AE8048D8D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839575" y="1009650"/>
          <a:ext cx="392400" cy="368377"/>
        </a:xfrm>
        <a:prstGeom prst="rect">
          <a:avLst/>
        </a:prstGeom>
      </xdr:spPr>
    </xdr:pic>
    <xdr:clientData/>
  </xdr:twoCellAnchor>
  <xdr:twoCellAnchor>
    <xdr:from>
      <xdr:col>5</xdr:col>
      <xdr:colOff>219075</xdr:colOff>
      <xdr:row>2</xdr:row>
      <xdr:rowOff>28575</xdr:rowOff>
    </xdr:from>
    <xdr:to>
      <xdr:col>13</xdr:col>
      <xdr:colOff>466725</xdr:colOff>
      <xdr:row>4</xdr:row>
      <xdr:rowOff>76200</xdr:rowOff>
    </xdr:to>
    <xdr:sp macro="" textlink="">
      <xdr:nvSpPr>
        <xdr:cNvPr id="3" name="TextBox 2">
          <a:extLst>
            <a:ext uri="{FF2B5EF4-FFF2-40B4-BE49-F238E27FC236}">
              <a16:creationId xmlns:a16="http://schemas.microsoft.com/office/drawing/2014/main" id="{AA47870A-45E6-4013-4E30-E586036B1B19}"/>
            </a:ext>
          </a:extLst>
        </xdr:cNvPr>
        <xdr:cNvSpPr txBox="1"/>
      </xdr:nvSpPr>
      <xdr:spPr>
        <a:xfrm>
          <a:off x="3267075" y="390525"/>
          <a:ext cx="51244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baseline="0">
              <a:solidFill>
                <a:srgbClr val="652B0B"/>
              </a:solidFill>
            </a:rPr>
            <a:t>Sales Performance Overview</a:t>
          </a:r>
          <a:endParaRPr lang="en-GB" sz="2400" b="1">
            <a:solidFill>
              <a:srgbClr val="652B0B"/>
            </a:solidFill>
          </a:endParaRPr>
        </a:p>
      </xdr:txBody>
    </xdr:sp>
    <xdr:clientData/>
  </xdr:twoCellAnchor>
  <xdr:twoCellAnchor>
    <xdr:from>
      <xdr:col>5</xdr:col>
      <xdr:colOff>228600</xdr:colOff>
      <xdr:row>4</xdr:row>
      <xdr:rowOff>28576</xdr:rowOff>
    </xdr:from>
    <xdr:to>
      <xdr:col>14</xdr:col>
      <xdr:colOff>571500</xdr:colOff>
      <xdr:row>5</xdr:row>
      <xdr:rowOff>85725</xdr:rowOff>
    </xdr:to>
    <xdr:sp macro="" textlink="">
      <xdr:nvSpPr>
        <xdr:cNvPr id="4" name="TextBox 3">
          <a:extLst>
            <a:ext uri="{FF2B5EF4-FFF2-40B4-BE49-F238E27FC236}">
              <a16:creationId xmlns:a16="http://schemas.microsoft.com/office/drawing/2014/main" id="{702D712F-F69B-1699-F8F8-5D1A3A32757D}"/>
            </a:ext>
          </a:extLst>
        </xdr:cNvPr>
        <xdr:cNvSpPr txBox="1"/>
      </xdr:nvSpPr>
      <xdr:spPr>
        <a:xfrm>
          <a:off x="3276600" y="571501"/>
          <a:ext cx="58293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50" b="1">
              <a:solidFill>
                <a:schemeClr val="dk1"/>
              </a:solidFill>
              <a:effectLst/>
              <a:latin typeface="+mn-lt"/>
              <a:ea typeface="+mn-ea"/>
              <a:cs typeface="+mn-cs"/>
            </a:rPr>
            <a:t>A summary of sales performance,</a:t>
          </a:r>
          <a:r>
            <a:rPr lang="en-GB" sz="1050" b="1" baseline="0">
              <a:solidFill>
                <a:schemeClr val="dk1"/>
              </a:solidFill>
              <a:effectLst/>
              <a:latin typeface="+mn-lt"/>
              <a:ea typeface="+mn-ea"/>
              <a:cs typeface="+mn-cs"/>
            </a:rPr>
            <a:t> monthly sales trends and regional distribution across the U.S</a:t>
          </a:r>
          <a:endParaRPr lang="en-GB" sz="1050" b="1">
            <a:effectLst/>
          </a:endParaRPr>
        </a:p>
        <a:p>
          <a:endParaRPr lang="en-GB" sz="1050" b="1"/>
        </a:p>
      </xdr:txBody>
    </xdr:sp>
    <xdr:clientData/>
  </xdr:twoCellAnchor>
  <xdr:twoCellAnchor>
    <xdr:from>
      <xdr:col>5</xdr:col>
      <xdr:colOff>152400</xdr:colOff>
      <xdr:row>13</xdr:row>
      <xdr:rowOff>19050</xdr:rowOff>
    </xdr:from>
    <xdr:to>
      <xdr:col>11</xdr:col>
      <xdr:colOff>552450</xdr:colOff>
      <xdr:row>22</xdr:row>
      <xdr:rowOff>76202</xdr:rowOff>
    </xdr:to>
    <xdr:graphicFrame macro="">
      <xdr:nvGraphicFramePr>
        <xdr:cNvPr id="5" name="Chart 4">
          <a:extLst>
            <a:ext uri="{FF2B5EF4-FFF2-40B4-BE49-F238E27FC236}">
              <a16:creationId xmlns:a16="http://schemas.microsoft.com/office/drawing/2014/main" id="{FC5BD849-283B-4F61-8B12-941592206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323850</xdr:colOff>
      <xdr:row>11</xdr:row>
      <xdr:rowOff>38100</xdr:rowOff>
    </xdr:from>
    <xdr:to>
      <xdr:col>7</xdr:col>
      <xdr:colOff>85725</xdr:colOff>
      <xdr:row>12</xdr:row>
      <xdr:rowOff>104775</xdr:rowOff>
    </xdr:to>
    <xdr:sp macro="" textlink="Analysis!K38">
      <xdr:nvSpPr>
        <xdr:cNvPr id="6" name="TextBox 5">
          <a:extLst>
            <a:ext uri="{FF2B5EF4-FFF2-40B4-BE49-F238E27FC236}">
              <a16:creationId xmlns:a16="http://schemas.microsoft.com/office/drawing/2014/main" id="{8A5568A4-1B95-FB06-7586-F54D8FFBA5EC}"/>
            </a:ext>
          </a:extLst>
        </xdr:cNvPr>
        <xdr:cNvSpPr txBox="1"/>
      </xdr:nvSpPr>
      <xdr:spPr>
        <a:xfrm>
          <a:off x="3371850" y="1847850"/>
          <a:ext cx="981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8B47BE-F0E8-456C-BB89-660168B1BBAB}" type="TxLink">
            <a:rPr lang="en-US" sz="1100" b="1" i="0" u="none" strike="noStrike">
              <a:solidFill>
                <a:srgbClr val="000000"/>
              </a:solidFill>
              <a:latin typeface="Aptos Narrow"/>
            </a:rPr>
            <a:pPr/>
            <a:t>Sales Trend</a:t>
          </a:fld>
          <a:endParaRPr lang="en-GB" sz="1100" b="1"/>
        </a:p>
      </xdr:txBody>
    </xdr:sp>
    <xdr:clientData/>
  </xdr:twoCellAnchor>
  <xdr:twoCellAnchor>
    <xdr:from>
      <xdr:col>5</xdr:col>
      <xdr:colOff>323850</xdr:colOff>
      <xdr:row>12</xdr:row>
      <xdr:rowOff>19050</xdr:rowOff>
    </xdr:from>
    <xdr:to>
      <xdr:col>9</xdr:col>
      <xdr:colOff>561975</xdr:colOff>
      <xdr:row>13</xdr:row>
      <xdr:rowOff>66675</xdr:rowOff>
    </xdr:to>
    <xdr:sp macro="" textlink="salestrend">
      <xdr:nvSpPr>
        <xdr:cNvPr id="7" name="TextBox 6">
          <a:extLst>
            <a:ext uri="{FF2B5EF4-FFF2-40B4-BE49-F238E27FC236}">
              <a16:creationId xmlns:a16="http://schemas.microsoft.com/office/drawing/2014/main" id="{9854042B-3378-2569-E7B8-20DBB6FEC855}"/>
            </a:ext>
          </a:extLst>
        </xdr:cNvPr>
        <xdr:cNvSpPr txBox="1"/>
      </xdr:nvSpPr>
      <xdr:spPr>
        <a:xfrm>
          <a:off x="3371850" y="2009775"/>
          <a:ext cx="26765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1BA2F1-4711-45D7-B5FB-D9341464232B}" type="TxLink">
            <a:rPr lang="en-US" sz="1050" b="0" i="0" u="none" strike="noStrike">
              <a:solidFill>
                <a:srgbClr val="000000"/>
              </a:solidFill>
              <a:latin typeface="Aptos Narrow"/>
            </a:rPr>
            <a:pPr/>
            <a:t>Peak Sales Month: Jan with £39,706 in Sales</a:t>
          </a:fld>
          <a:endParaRPr lang="en-GB" sz="1050"/>
        </a:p>
      </xdr:txBody>
    </xdr:sp>
    <xdr:clientData/>
  </xdr:twoCellAnchor>
  <xdr:twoCellAnchor>
    <xdr:from>
      <xdr:col>12</xdr:col>
      <xdr:colOff>142875</xdr:colOff>
      <xdr:row>12</xdr:row>
      <xdr:rowOff>114300</xdr:rowOff>
    </xdr:from>
    <xdr:to>
      <xdr:col>16</xdr:col>
      <xdr:colOff>381000</xdr:colOff>
      <xdr:row>22</xdr:row>
      <xdr:rowOff>57150</xdr:rowOff>
    </xdr:to>
    <xdr:graphicFrame macro="">
      <xdr:nvGraphicFramePr>
        <xdr:cNvPr id="8" name="Chart 7">
          <a:extLst>
            <a:ext uri="{FF2B5EF4-FFF2-40B4-BE49-F238E27FC236}">
              <a16:creationId xmlns:a16="http://schemas.microsoft.com/office/drawing/2014/main" id="{382A4C02-BF88-401F-A664-CE62E586D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66675</xdr:colOff>
      <xdr:row>11</xdr:row>
      <xdr:rowOff>19050</xdr:rowOff>
    </xdr:from>
    <xdr:to>
      <xdr:col>14</xdr:col>
      <xdr:colOff>9525</xdr:colOff>
      <xdr:row>12</xdr:row>
      <xdr:rowOff>76200</xdr:rowOff>
    </xdr:to>
    <xdr:sp macro="" textlink="Analysis!O38">
      <xdr:nvSpPr>
        <xdr:cNvPr id="9" name="TextBox 8">
          <a:extLst>
            <a:ext uri="{FF2B5EF4-FFF2-40B4-BE49-F238E27FC236}">
              <a16:creationId xmlns:a16="http://schemas.microsoft.com/office/drawing/2014/main" id="{78B8C325-2585-CAF1-B443-319A857CE20E}"/>
            </a:ext>
          </a:extLst>
        </xdr:cNvPr>
        <xdr:cNvSpPr txBox="1"/>
      </xdr:nvSpPr>
      <xdr:spPr>
        <a:xfrm>
          <a:off x="7381875" y="1828800"/>
          <a:ext cx="1162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F6D224-1EE4-4937-BFD3-3FE6CBFD9F69}" type="TxLink">
            <a:rPr lang="en-US" sz="1100" b="1" i="0" u="none" strike="noStrike">
              <a:solidFill>
                <a:srgbClr val="000000"/>
              </a:solidFill>
              <a:latin typeface="Aptos Narrow"/>
            </a:rPr>
            <a:pPr/>
            <a:t>Sales by Region</a:t>
          </a:fld>
          <a:endParaRPr lang="en-GB" sz="1100" b="1"/>
        </a:p>
      </xdr:txBody>
    </xdr:sp>
    <xdr:clientData/>
  </xdr:twoCellAnchor>
  <xdr:twoCellAnchor>
    <xdr:from>
      <xdr:col>12</xdr:col>
      <xdr:colOff>76200</xdr:colOff>
      <xdr:row>12</xdr:row>
      <xdr:rowOff>19049</xdr:rowOff>
    </xdr:from>
    <xdr:to>
      <xdr:col>15</xdr:col>
      <xdr:colOff>438150</xdr:colOff>
      <xdr:row>13</xdr:row>
      <xdr:rowOff>47625</xdr:rowOff>
    </xdr:to>
    <xdr:sp macro="" textlink="salesbyregion">
      <xdr:nvSpPr>
        <xdr:cNvPr id="12" name="TextBox 11">
          <a:extLst>
            <a:ext uri="{FF2B5EF4-FFF2-40B4-BE49-F238E27FC236}">
              <a16:creationId xmlns:a16="http://schemas.microsoft.com/office/drawing/2014/main" id="{2F93A6ED-2EEC-147C-F2E6-DC610EC9FB5D}"/>
            </a:ext>
          </a:extLst>
        </xdr:cNvPr>
        <xdr:cNvSpPr txBox="1"/>
      </xdr:nvSpPr>
      <xdr:spPr>
        <a:xfrm>
          <a:off x="7391400" y="2009774"/>
          <a:ext cx="2190750"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AFC079-F170-4E43-8439-842C5C4F1BF8}" type="TxLink">
            <a:rPr lang="en-US" sz="1050" b="0" i="0" u="none" strike="noStrike">
              <a:solidFill>
                <a:srgbClr val="000000"/>
              </a:solidFill>
              <a:latin typeface="Aptos Narrow"/>
            </a:rPr>
            <a:pPr/>
            <a:t>East ($123,154) with Most Sales</a:t>
          </a:fld>
          <a:endParaRPr lang="en-GB" sz="1050"/>
        </a:p>
      </xdr:txBody>
    </xdr:sp>
    <xdr:clientData/>
  </xdr:twoCellAnchor>
  <xdr:twoCellAnchor>
    <xdr:from>
      <xdr:col>16</xdr:col>
      <xdr:colOff>542925</xdr:colOff>
      <xdr:row>13</xdr:row>
      <xdr:rowOff>9526</xdr:rowOff>
    </xdr:from>
    <xdr:to>
      <xdr:col>20</xdr:col>
      <xdr:colOff>457201</xdr:colOff>
      <xdr:row>22</xdr:row>
      <xdr:rowOff>123825</xdr:rowOff>
    </xdr:to>
    <xdr:graphicFrame macro="">
      <xdr:nvGraphicFramePr>
        <xdr:cNvPr id="14" name="Chart 13">
          <a:extLst>
            <a:ext uri="{FF2B5EF4-FFF2-40B4-BE49-F238E27FC236}">
              <a16:creationId xmlns:a16="http://schemas.microsoft.com/office/drawing/2014/main" id="{F95A0C0F-7800-4A6F-81F6-A691160DB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19050</xdr:colOff>
      <xdr:row>11</xdr:row>
      <xdr:rowOff>0</xdr:rowOff>
    </xdr:from>
    <xdr:to>
      <xdr:col>19</xdr:col>
      <xdr:colOff>600075</xdr:colOff>
      <xdr:row>12</xdr:row>
      <xdr:rowOff>85725</xdr:rowOff>
    </xdr:to>
    <xdr:sp macro="" textlink="Analysis!S47">
      <xdr:nvSpPr>
        <xdr:cNvPr id="15" name="TextBox 14">
          <a:extLst>
            <a:ext uri="{FF2B5EF4-FFF2-40B4-BE49-F238E27FC236}">
              <a16:creationId xmlns:a16="http://schemas.microsoft.com/office/drawing/2014/main" id="{2B9E3A5B-EDD9-EFF5-3B34-25F0210FA5AA}"/>
            </a:ext>
          </a:extLst>
        </xdr:cNvPr>
        <xdr:cNvSpPr txBox="1"/>
      </xdr:nvSpPr>
      <xdr:spPr>
        <a:xfrm>
          <a:off x="10382250" y="1809750"/>
          <a:ext cx="1800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F775E8-4C86-4473-B999-47BC6C1E455B}" type="TxLink">
            <a:rPr lang="en-US" sz="1100" b="1" i="0" u="none" strike="noStrike">
              <a:solidFill>
                <a:srgbClr val="000000"/>
              </a:solidFill>
              <a:latin typeface="Aptos Narrow"/>
            </a:rPr>
            <a:pPr/>
            <a:t>Discount Amount by Region</a:t>
          </a:fld>
          <a:endParaRPr lang="en-GB" sz="1100" b="1"/>
        </a:p>
      </xdr:txBody>
    </xdr:sp>
    <xdr:clientData/>
  </xdr:twoCellAnchor>
  <xdr:twoCellAnchor>
    <xdr:from>
      <xdr:col>17</xdr:col>
      <xdr:colOff>0</xdr:colOff>
      <xdr:row>12</xdr:row>
      <xdr:rowOff>28574</xdr:rowOff>
    </xdr:from>
    <xdr:to>
      <xdr:col>20</xdr:col>
      <xdr:colOff>361950</xdr:colOff>
      <xdr:row>13</xdr:row>
      <xdr:rowOff>57150</xdr:rowOff>
    </xdr:to>
    <xdr:sp macro="" textlink="mostdiscountregion">
      <xdr:nvSpPr>
        <xdr:cNvPr id="28" name="TextBox 27">
          <a:extLst>
            <a:ext uri="{FF2B5EF4-FFF2-40B4-BE49-F238E27FC236}">
              <a16:creationId xmlns:a16="http://schemas.microsoft.com/office/drawing/2014/main" id="{AB2AE887-7FB4-4E1F-8F54-7913F58DB1D3}"/>
            </a:ext>
          </a:extLst>
        </xdr:cNvPr>
        <xdr:cNvSpPr txBox="1"/>
      </xdr:nvSpPr>
      <xdr:spPr>
        <a:xfrm>
          <a:off x="10363200" y="2019299"/>
          <a:ext cx="2190750"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6ADEA-0959-4D40-9327-78F9B6B8B6E2}" type="TxLink">
            <a:rPr lang="en-US" sz="1050" b="0" i="0" u="none" strike="noStrike">
              <a:solidFill>
                <a:srgbClr val="000000"/>
              </a:solidFill>
              <a:latin typeface="Aptos Narrow"/>
            </a:rPr>
            <a:pPr/>
            <a:t>East ($6,107) with Most Discount</a:t>
          </a:fld>
          <a:endParaRPr lang="en-US" sz="1050" b="0" i="0" u="none" strike="noStrike">
            <a:solidFill>
              <a:srgbClr val="000000"/>
            </a:solidFill>
            <a:latin typeface="Aptos Narrow"/>
          </a:endParaRPr>
        </a:p>
      </xdr:txBody>
    </xdr:sp>
    <xdr:clientData/>
  </xdr:twoCellAnchor>
  <xdr:twoCellAnchor>
    <xdr:from>
      <xdr:col>5</xdr:col>
      <xdr:colOff>161925</xdr:colOff>
      <xdr:row>25</xdr:row>
      <xdr:rowOff>0</xdr:rowOff>
    </xdr:from>
    <xdr:to>
      <xdr:col>8</xdr:col>
      <xdr:colOff>438150</xdr:colOff>
      <xdr:row>35</xdr:row>
      <xdr:rowOff>104775</xdr:rowOff>
    </xdr:to>
    <xdr:graphicFrame macro="">
      <xdr:nvGraphicFramePr>
        <xdr:cNvPr id="33" name="Chart 32">
          <a:extLst>
            <a:ext uri="{FF2B5EF4-FFF2-40B4-BE49-F238E27FC236}">
              <a16:creationId xmlns:a16="http://schemas.microsoft.com/office/drawing/2014/main" id="{1FDDABF3-85DE-4BE6-9A4E-C239FC421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171449</xdr:colOff>
      <xdr:row>23</xdr:row>
      <xdr:rowOff>66675</xdr:rowOff>
    </xdr:from>
    <xdr:to>
      <xdr:col>8</xdr:col>
      <xdr:colOff>523874</xdr:colOff>
      <xdr:row>24</xdr:row>
      <xdr:rowOff>152400</xdr:rowOff>
    </xdr:to>
    <xdr:sp macro="" textlink="Analysis!S38">
      <xdr:nvSpPr>
        <xdr:cNvPr id="38" name="TextBox 37">
          <a:extLst>
            <a:ext uri="{FF2B5EF4-FFF2-40B4-BE49-F238E27FC236}">
              <a16:creationId xmlns:a16="http://schemas.microsoft.com/office/drawing/2014/main" id="{665F4728-9DA4-E746-3F6C-A178345A66B5}"/>
            </a:ext>
          </a:extLst>
        </xdr:cNvPr>
        <xdr:cNvSpPr txBox="1"/>
      </xdr:nvSpPr>
      <xdr:spPr>
        <a:xfrm>
          <a:off x="3219449" y="4048125"/>
          <a:ext cx="2181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0794B8-D734-4489-9F91-915D0178F689}" type="TxLink">
            <a:rPr lang="en-US" sz="1100" b="1" i="0" u="none" strike="noStrike">
              <a:solidFill>
                <a:srgbClr val="000000"/>
              </a:solidFill>
              <a:latin typeface="Aptos Narrow"/>
            </a:rPr>
            <a:pPr/>
            <a:t>Average Order value by Sales Reps</a:t>
          </a:fld>
          <a:endParaRPr lang="en-GB" sz="1100" b="1"/>
        </a:p>
      </xdr:txBody>
    </xdr:sp>
    <xdr:clientData/>
  </xdr:twoCellAnchor>
  <xdr:twoCellAnchor>
    <xdr:from>
      <xdr:col>16</xdr:col>
      <xdr:colOff>561975</xdr:colOff>
      <xdr:row>25</xdr:row>
      <xdr:rowOff>28575</xdr:rowOff>
    </xdr:from>
    <xdr:to>
      <xdr:col>20</xdr:col>
      <xdr:colOff>104775</xdr:colOff>
      <xdr:row>35</xdr:row>
      <xdr:rowOff>152400</xdr:rowOff>
    </xdr:to>
    <xdr:graphicFrame macro="">
      <xdr:nvGraphicFramePr>
        <xdr:cNvPr id="39" name="Chart 38">
          <a:extLst>
            <a:ext uri="{FF2B5EF4-FFF2-40B4-BE49-F238E27FC236}">
              <a16:creationId xmlns:a16="http://schemas.microsoft.com/office/drawing/2014/main" id="{032A21A9-FB8B-4541-AA61-E23552895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276224</xdr:colOff>
      <xdr:row>23</xdr:row>
      <xdr:rowOff>95250</xdr:rowOff>
    </xdr:from>
    <xdr:to>
      <xdr:col>20</xdr:col>
      <xdr:colOff>152399</xdr:colOff>
      <xdr:row>25</xdr:row>
      <xdr:rowOff>0</xdr:rowOff>
    </xdr:to>
    <xdr:sp macro="" textlink="Analysis!O48">
      <xdr:nvSpPr>
        <xdr:cNvPr id="24" name="TextBox 23">
          <a:extLst>
            <a:ext uri="{FF2B5EF4-FFF2-40B4-BE49-F238E27FC236}">
              <a16:creationId xmlns:a16="http://schemas.microsoft.com/office/drawing/2014/main" id="{EBBEE32B-75C1-99F1-48FF-D5462085BF05}"/>
            </a:ext>
          </a:extLst>
        </xdr:cNvPr>
        <xdr:cNvSpPr txBox="1"/>
      </xdr:nvSpPr>
      <xdr:spPr>
        <a:xfrm>
          <a:off x="10639424" y="4076700"/>
          <a:ext cx="17049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5FE4B0-C81B-4BFB-A042-63D8E6E5AEBB}" type="TxLink">
            <a:rPr lang="en-US" sz="1100" b="1" i="0" u="none" strike="noStrike">
              <a:solidFill>
                <a:srgbClr val="000000"/>
              </a:solidFill>
              <a:latin typeface="Aptos Narrow"/>
            </a:rPr>
            <a:pPr/>
            <a:t>Quantity Sold by Category</a:t>
          </a:fld>
          <a:endParaRPr lang="en-GB" sz="1100" b="1"/>
        </a:p>
      </xdr:txBody>
    </xdr:sp>
    <xdr:clientData/>
  </xdr:twoCellAnchor>
  <xdr:twoCellAnchor>
    <xdr:from>
      <xdr:col>9</xdr:col>
      <xdr:colOff>5715</xdr:colOff>
      <xdr:row>25</xdr:row>
      <xdr:rowOff>85725</xdr:rowOff>
    </xdr:from>
    <xdr:to>
      <xdr:col>14</xdr:col>
      <xdr:colOff>66675</xdr:colOff>
      <xdr:row>35</xdr:row>
      <xdr:rowOff>104775</xdr:rowOff>
    </xdr:to>
    <xdr:graphicFrame macro="">
      <xdr:nvGraphicFramePr>
        <xdr:cNvPr id="40" name="Chart 39">
          <a:extLst>
            <a:ext uri="{FF2B5EF4-FFF2-40B4-BE49-F238E27FC236}">
              <a16:creationId xmlns:a16="http://schemas.microsoft.com/office/drawing/2014/main" id="{C332B847-FF29-4F55-8ACC-B80F2BBD8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114300</xdr:colOff>
      <xdr:row>23</xdr:row>
      <xdr:rowOff>66675</xdr:rowOff>
    </xdr:from>
    <xdr:to>
      <xdr:col>12</xdr:col>
      <xdr:colOff>323850</xdr:colOff>
      <xdr:row>24</xdr:row>
      <xdr:rowOff>133350</xdr:rowOff>
    </xdr:to>
    <xdr:sp macro="" textlink="Analysis!K56">
      <xdr:nvSpPr>
        <xdr:cNvPr id="42" name="TextBox 41">
          <a:extLst>
            <a:ext uri="{FF2B5EF4-FFF2-40B4-BE49-F238E27FC236}">
              <a16:creationId xmlns:a16="http://schemas.microsoft.com/office/drawing/2014/main" id="{6AA746E8-59A8-41ED-1FB5-46A63E8AAC53}"/>
            </a:ext>
          </a:extLst>
        </xdr:cNvPr>
        <xdr:cNvSpPr txBox="1"/>
      </xdr:nvSpPr>
      <xdr:spPr>
        <a:xfrm>
          <a:off x="6210300" y="4048125"/>
          <a:ext cx="1428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04073D-9E2C-48D3-BDB3-FB59F3BED6D8}" type="TxLink">
            <a:rPr lang="en-US" sz="1100" b="1" i="0" u="none" strike="noStrike">
              <a:solidFill>
                <a:srgbClr val="000000"/>
              </a:solidFill>
              <a:latin typeface="Aptos Narrow"/>
            </a:rPr>
            <a:pPr/>
            <a:t>Top 5 Selling Product</a:t>
          </a:fld>
          <a:endParaRPr lang="en-GB" sz="1100" b="1"/>
        </a:p>
      </xdr:txBody>
    </xdr:sp>
    <xdr:clientData/>
  </xdr:twoCellAnchor>
  <xdr:twoCellAnchor>
    <xdr:from>
      <xdr:col>9</xdr:col>
      <xdr:colOff>600074</xdr:colOff>
      <xdr:row>24</xdr:row>
      <xdr:rowOff>66675</xdr:rowOff>
    </xdr:from>
    <xdr:to>
      <xdr:col>13</xdr:col>
      <xdr:colOff>295275</xdr:colOff>
      <xdr:row>25</xdr:row>
      <xdr:rowOff>152400</xdr:rowOff>
    </xdr:to>
    <xdr:sp macro="" textlink="topsellingproduct">
      <xdr:nvSpPr>
        <xdr:cNvPr id="43" name="TextBox 42">
          <a:extLst>
            <a:ext uri="{FF2B5EF4-FFF2-40B4-BE49-F238E27FC236}">
              <a16:creationId xmlns:a16="http://schemas.microsoft.com/office/drawing/2014/main" id="{4ACBD405-E2CF-476D-8BB9-BA4474048B8C}"/>
            </a:ext>
          </a:extLst>
        </xdr:cNvPr>
        <xdr:cNvSpPr txBox="1"/>
      </xdr:nvSpPr>
      <xdr:spPr>
        <a:xfrm>
          <a:off x="6086474" y="4229100"/>
          <a:ext cx="213360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7ABF24-34B7-46F9-9368-4E43459BAD35}" type="TxLink">
            <a:rPr lang="en-US" sz="1050" b="0" i="0" u="none" strike="noStrike">
              <a:solidFill>
                <a:srgbClr val="000000"/>
              </a:solidFill>
              <a:latin typeface="Aptos Narrow"/>
            </a:rPr>
            <a:pPr/>
            <a:t>Laptop Leading with £174,944</a:t>
          </a:fld>
          <a:endParaRPr lang="en-GB" sz="1050" b="1"/>
        </a:p>
      </xdr:txBody>
    </xdr:sp>
    <xdr:clientData/>
  </xdr:twoCellAnchor>
  <xdr:twoCellAnchor>
    <xdr:from>
      <xdr:col>14</xdr:col>
      <xdr:colOff>304800</xdr:colOff>
      <xdr:row>26</xdr:row>
      <xdr:rowOff>9524</xdr:rowOff>
    </xdr:from>
    <xdr:to>
      <xdr:col>17</xdr:col>
      <xdr:colOff>209550</xdr:colOff>
      <xdr:row>35</xdr:row>
      <xdr:rowOff>66674</xdr:rowOff>
    </xdr:to>
    <xdr:graphicFrame macro="">
      <xdr:nvGraphicFramePr>
        <xdr:cNvPr id="44" name="Chart 43">
          <a:extLst>
            <a:ext uri="{FF2B5EF4-FFF2-40B4-BE49-F238E27FC236}">
              <a16:creationId xmlns:a16="http://schemas.microsoft.com/office/drawing/2014/main" id="{501E960B-ECA0-4F52-80C7-C01032713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142875</xdr:colOff>
      <xdr:row>23</xdr:row>
      <xdr:rowOff>114300</xdr:rowOff>
    </xdr:from>
    <xdr:to>
      <xdr:col>17</xdr:col>
      <xdr:colOff>152400</xdr:colOff>
      <xdr:row>25</xdr:row>
      <xdr:rowOff>57150</xdr:rowOff>
    </xdr:to>
    <xdr:sp macro="" textlink="Analysis!S59">
      <xdr:nvSpPr>
        <xdr:cNvPr id="45" name="TextBox 44">
          <a:extLst>
            <a:ext uri="{FF2B5EF4-FFF2-40B4-BE49-F238E27FC236}">
              <a16:creationId xmlns:a16="http://schemas.microsoft.com/office/drawing/2014/main" id="{EEFA0EFF-DC9C-4905-90E9-46BFC6FBBBFB}"/>
            </a:ext>
          </a:extLst>
        </xdr:cNvPr>
        <xdr:cNvSpPr txBox="1"/>
      </xdr:nvSpPr>
      <xdr:spPr>
        <a:xfrm>
          <a:off x="8677275" y="4095750"/>
          <a:ext cx="1838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60612B-3517-44DE-B2FE-892145618FBC}" type="TxLink">
            <a:rPr lang="en-US" sz="1100" b="1" i="0" u="none" strike="noStrike">
              <a:solidFill>
                <a:srgbClr val="000000"/>
              </a:solidFill>
              <a:latin typeface="Aptos Narrow"/>
            </a:rPr>
            <a:pPr/>
            <a:t>Order Category by Net Sales</a:t>
          </a:fld>
          <a:endParaRPr lang="en-GB" sz="1100" b="1"/>
        </a:p>
      </xdr:txBody>
    </xdr:sp>
    <xdr:clientData/>
  </xdr:twoCellAnchor>
  <xdr:twoCellAnchor>
    <xdr:from>
      <xdr:col>5</xdr:col>
      <xdr:colOff>180976</xdr:colOff>
      <xdr:row>9</xdr:row>
      <xdr:rowOff>9525</xdr:rowOff>
    </xdr:from>
    <xdr:to>
      <xdr:col>6</xdr:col>
      <xdr:colOff>485776</xdr:colOff>
      <xdr:row>10</xdr:row>
      <xdr:rowOff>123825</xdr:rowOff>
    </xdr:to>
    <xdr:sp macro="" textlink="Analysis!P30">
      <xdr:nvSpPr>
        <xdr:cNvPr id="46" name="TextBox 45">
          <a:extLst>
            <a:ext uri="{FF2B5EF4-FFF2-40B4-BE49-F238E27FC236}">
              <a16:creationId xmlns:a16="http://schemas.microsoft.com/office/drawing/2014/main" id="{1FA4D868-6A4E-AA08-ED0E-CF9ADF56148B}"/>
            </a:ext>
          </a:extLst>
        </xdr:cNvPr>
        <xdr:cNvSpPr txBox="1"/>
      </xdr:nvSpPr>
      <xdr:spPr>
        <a:xfrm>
          <a:off x="3228976" y="1457325"/>
          <a:ext cx="914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4E2626-107B-47EF-9109-BEFD8D03C9C2}" type="TxLink">
            <a:rPr lang="en-US" sz="1100" b="0" i="0" u="none" strike="noStrike">
              <a:solidFill>
                <a:srgbClr val="000000"/>
              </a:solidFill>
              <a:latin typeface="Aptos Narrow"/>
            </a:rPr>
            <a:pPr/>
            <a:t>▼ 58% YoY</a:t>
          </a:fld>
          <a:endParaRPr lang="en-GB" sz="1100" b="0"/>
        </a:p>
      </xdr:txBody>
    </xdr:sp>
    <xdr:clientData/>
  </xdr:twoCellAnchor>
  <xdr:twoCellAnchor>
    <xdr:from>
      <xdr:col>9</xdr:col>
      <xdr:colOff>123825</xdr:colOff>
      <xdr:row>9</xdr:row>
      <xdr:rowOff>9525</xdr:rowOff>
    </xdr:from>
    <xdr:to>
      <xdr:col>10</xdr:col>
      <xdr:colOff>428625</xdr:colOff>
      <xdr:row>10</xdr:row>
      <xdr:rowOff>123825</xdr:rowOff>
    </xdr:to>
    <xdr:sp macro="" textlink="Analysis!P31">
      <xdr:nvSpPr>
        <xdr:cNvPr id="47" name="TextBox 46">
          <a:extLst>
            <a:ext uri="{FF2B5EF4-FFF2-40B4-BE49-F238E27FC236}">
              <a16:creationId xmlns:a16="http://schemas.microsoft.com/office/drawing/2014/main" id="{B5DF9DBB-BF50-4D21-928D-FC3B8BB635A9}"/>
            </a:ext>
          </a:extLst>
        </xdr:cNvPr>
        <xdr:cNvSpPr txBox="1"/>
      </xdr:nvSpPr>
      <xdr:spPr>
        <a:xfrm>
          <a:off x="5610225" y="1457325"/>
          <a:ext cx="914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4EB00F-E868-4DE0-925A-E06A66C930C1}" type="TxLink">
            <a:rPr lang="en-US" sz="1100" b="0" i="0" u="none" strike="noStrike">
              <a:solidFill>
                <a:srgbClr val="000000"/>
              </a:solidFill>
              <a:latin typeface="Aptos Narrow"/>
            </a:rPr>
            <a:pPr/>
            <a:t>▼ 63% YoY</a:t>
          </a:fld>
          <a:endParaRPr lang="en-GB" sz="1100" b="0"/>
        </a:p>
      </xdr:txBody>
    </xdr:sp>
    <xdr:clientData/>
  </xdr:twoCellAnchor>
  <xdr:twoCellAnchor>
    <xdr:from>
      <xdr:col>12</xdr:col>
      <xdr:colOff>514350</xdr:colOff>
      <xdr:row>9</xdr:row>
      <xdr:rowOff>9525</xdr:rowOff>
    </xdr:from>
    <xdr:to>
      <xdr:col>14</xdr:col>
      <xdr:colOff>209550</xdr:colOff>
      <xdr:row>10</xdr:row>
      <xdr:rowOff>123825</xdr:rowOff>
    </xdr:to>
    <xdr:sp macro="" textlink="Analysis!P32">
      <xdr:nvSpPr>
        <xdr:cNvPr id="48" name="TextBox 47">
          <a:extLst>
            <a:ext uri="{FF2B5EF4-FFF2-40B4-BE49-F238E27FC236}">
              <a16:creationId xmlns:a16="http://schemas.microsoft.com/office/drawing/2014/main" id="{8030E420-81DD-49F2-89A2-5A5D3802833B}"/>
            </a:ext>
          </a:extLst>
        </xdr:cNvPr>
        <xdr:cNvSpPr txBox="1"/>
      </xdr:nvSpPr>
      <xdr:spPr>
        <a:xfrm>
          <a:off x="7829550" y="1457325"/>
          <a:ext cx="914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EC71E7-4DE5-417E-811F-ABCDCE008CEA}" type="TxLink">
            <a:rPr lang="en-US" sz="1100" b="0" i="0" u="none" strike="noStrike">
              <a:solidFill>
                <a:srgbClr val="000000"/>
              </a:solidFill>
              <a:latin typeface="Aptos Narrow"/>
            </a:rPr>
            <a:pPr/>
            <a:t>▲ 14% YoY</a:t>
          </a:fld>
          <a:endParaRPr lang="en-GB" sz="1100" b="0"/>
        </a:p>
      </xdr:txBody>
    </xdr:sp>
    <xdr:clientData/>
  </xdr:twoCellAnchor>
  <xdr:twoCellAnchor>
    <xdr:from>
      <xdr:col>16</xdr:col>
      <xdr:colOff>419100</xdr:colOff>
      <xdr:row>9</xdr:row>
      <xdr:rowOff>19050</xdr:rowOff>
    </xdr:from>
    <xdr:to>
      <xdr:col>18</xdr:col>
      <xdr:colOff>114300</xdr:colOff>
      <xdr:row>10</xdr:row>
      <xdr:rowOff>133350</xdr:rowOff>
    </xdr:to>
    <xdr:sp macro="" textlink="Analysis!P33">
      <xdr:nvSpPr>
        <xdr:cNvPr id="49" name="TextBox 48">
          <a:extLst>
            <a:ext uri="{FF2B5EF4-FFF2-40B4-BE49-F238E27FC236}">
              <a16:creationId xmlns:a16="http://schemas.microsoft.com/office/drawing/2014/main" id="{DFBE6F46-2FBE-4AD3-819B-FD72DBFD6F60}"/>
            </a:ext>
          </a:extLst>
        </xdr:cNvPr>
        <xdr:cNvSpPr txBox="1"/>
      </xdr:nvSpPr>
      <xdr:spPr>
        <a:xfrm>
          <a:off x="10172700" y="1466850"/>
          <a:ext cx="914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0A2C38-BFB0-4123-930D-AFFF4C6D9C5E}" type="TxLink">
            <a:rPr lang="en-US" sz="1100" b="0" i="0" u="none" strike="noStrike">
              <a:solidFill>
                <a:srgbClr val="000000"/>
              </a:solidFill>
              <a:latin typeface="Aptos Narrow"/>
            </a:rPr>
            <a:pPr/>
            <a:t>▼ 62% YoY</a:t>
          </a:fld>
          <a:endParaRPr lang="en-GB" sz="1100" b="0"/>
        </a:p>
      </xdr:txBody>
    </xdr:sp>
    <xdr:clientData/>
  </xdr:twoCellAnchor>
  <xdr:twoCellAnchor editAs="oneCell">
    <xdr:from>
      <xdr:col>14</xdr:col>
      <xdr:colOff>104775</xdr:colOff>
      <xdr:row>2</xdr:row>
      <xdr:rowOff>114301</xdr:rowOff>
    </xdr:from>
    <xdr:to>
      <xdr:col>20</xdr:col>
      <xdr:colOff>85725</xdr:colOff>
      <xdr:row>5</xdr:row>
      <xdr:rowOff>47626</xdr:rowOff>
    </xdr:to>
    <mc:AlternateContent xmlns:mc="http://schemas.openxmlformats.org/markup-compatibility/2006" xmlns:a14="http://schemas.microsoft.com/office/drawing/2010/main">
      <mc:Choice Requires="a14">
        <xdr:graphicFrame macro="">
          <xdr:nvGraphicFramePr>
            <xdr:cNvPr id="51" name="Region">
              <a:extLst>
                <a:ext uri="{FF2B5EF4-FFF2-40B4-BE49-F238E27FC236}">
                  <a16:creationId xmlns:a16="http://schemas.microsoft.com/office/drawing/2014/main" id="{ED9652E4-EB02-4AF0-91F3-B139754159F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39175" y="476251"/>
              <a:ext cx="3638550" cy="476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38101</xdr:colOff>
      <xdr:row>19</xdr:row>
      <xdr:rowOff>142876</xdr:rowOff>
    </xdr:from>
    <xdr:to>
      <xdr:col>4</xdr:col>
      <xdr:colOff>571501</xdr:colOff>
      <xdr:row>26</xdr:row>
      <xdr:rowOff>142875</xdr:rowOff>
    </xdr:to>
    <mc:AlternateContent xmlns:mc="http://schemas.openxmlformats.org/markup-compatibility/2006" xmlns:a14="http://schemas.microsoft.com/office/drawing/2010/main">
      <mc:Choice Requires="a14">
        <xdr:graphicFrame macro="">
          <xdr:nvGraphicFramePr>
            <xdr:cNvPr id="52" name="Sales Rep">
              <a:extLst>
                <a:ext uri="{FF2B5EF4-FFF2-40B4-BE49-F238E27FC236}">
                  <a16:creationId xmlns:a16="http://schemas.microsoft.com/office/drawing/2014/main" id="{629A49C6-0FAF-4E2E-82BF-24DA76F46770}"/>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866901" y="3581401"/>
              <a:ext cx="1143000" cy="12668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85726</xdr:colOff>
      <xdr:row>7</xdr:row>
      <xdr:rowOff>66676</xdr:rowOff>
    </xdr:from>
    <xdr:to>
      <xdr:col>4</xdr:col>
      <xdr:colOff>590550</xdr:colOff>
      <xdr:row>11</xdr:row>
      <xdr:rowOff>104776</xdr:rowOff>
    </xdr:to>
    <mc:AlternateContent xmlns:mc="http://schemas.openxmlformats.org/markup-compatibility/2006" xmlns:a14="http://schemas.microsoft.com/office/drawing/2010/main">
      <mc:Choice Requires="a14">
        <xdr:graphicFrame macro="">
          <xdr:nvGraphicFramePr>
            <xdr:cNvPr id="53" name="Category">
              <a:extLst>
                <a:ext uri="{FF2B5EF4-FFF2-40B4-BE49-F238E27FC236}">
                  <a16:creationId xmlns:a16="http://schemas.microsoft.com/office/drawing/2014/main" id="{DF4D4D5E-0C0B-40DB-BCE7-A4BAEDAED42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14526" y="1333501"/>
              <a:ext cx="1114424"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66674</xdr:colOff>
      <xdr:row>12</xdr:row>
      <xdr:rowOff>114300</xdr:rowOff>
    </xdr:from>
    <xdr:to>
      <xdr:col>4</xdr:col>
      <xdr:colOff>581025</xdr:colOff>
      <xdr:row>18</xdr:row>
      <xdr:rowOff>19050</xdr:rowOff>
    </xdr:to>
    <mc:AlternateContent xmlns:mc="http://schemas.openxmlformats.org/markup-compatibility/2006" xmlns:a14="http://schemas.microsoft.com/office/drawing/2010/main">
      <mc:Choice Requires="a14">
        <xdr:graphicFrame macro="">
          <xdr:nvGraphicFramePr>
            <xdr:cNvPr id="54" name="Order Category">
              <a:extLst>
                <a:ext uri="{FF2B5EF4-FFF2-40B4-BE49-F238E27FC236}">
                  <a16:creationId xmlns:a16="http://schemas.microsoft.com/office/drawing/2014/main" id="{2F4891D2-C11F-43FF-B719-197F6831E095}"/>
                </a:ext>
              </a:extLst>
            </xdr:cNvPr>
            <xdr:cNvGraphicFramePr/>
          </xdr:nvGraphicFramePr>
          <xdr:xfrm>
            <a:off x="0" y="0"/>
            <a:ext cx="0" cy="0"/>
          </xdr:xfrm>
          <a:graphic>
            <a:graphicData uri="http://schemas.microsoft.com/office/drawing/2010/slicer">
              <sle:slicer xmlns:sle="http://schemas.microsoft.com/office/drawing/2010/slicer" name="Order Category"/>
            </a:graphicData>
          </a:graphic>
        </xdr:graphicFrame>
      </mc:Choice>
      <mc:Fallback xmlns="">
        <xdr:sp macro="" textlink="">
          <xdr:nvSpPr>
            <xdr:cNvPr id="0" name=""/>
            <xdr:cNvSpPr>
              <a:spLocks noTextEdit="1"/>
            </xdr:cNvSpPr>
          </xdr:nvSpPr>
          <xdr:spPr>
            <a:xfrm>
              <a:off x="1895474" y="2286000"/>
              <a:ext cx="1123951" cy="990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238125</xdr:colOff>
      <xdr:row>6</xdr:row>
      <xdr:rowOff>19050</xdr:rowOff>
    </xdr:from>
    <xdr:to>
      <xdr:col>4</xdr:col>
      <xdr:colOff>419100</xdr:colOff>
      <xdr:row>7</xdr:row>
      <xdr:rowOff>123825</xdr:rowOff>
    </xdr:to>
    <xdr:sp macro="" textlink="Analysis!O50">
      <xdr:nvSpPr>
        <xdr:cNvPr id="56" name="TextBox 55">
          <a:extLst>
            <a:ext uri="{FF2B5EF4-FFF2-40B4-BE49-F238E27FC236}">
              <a16:creationId xmlns:a16="http://schemas.microsoft.com/office/drawing/2014/main" id="{17101BA7-8BBD-A826-5460-AF756A078328}"/>
            </a:ext>
          </a:extLst>
        </xdr:cNvPr>
        <xdr:cNvSpPr txBox="1"/>
      </xdr:nvSpPr>
      <xdr:spPr>
        <a:xfrm>
          <a:off x="2066925" y="923925"/>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FA3E7E-5050-4D25-82D2-DD6537B79605}" type="TxLink">
            <a:rPr lang="en-US" sz="1100" b="1" i="0" u="none" strike="noStrike">
              <a:solidFill>
                <a:srgbClr val="000000"/>
              </a:solidFill>
              <a:latin typeface="Aptos Narrow"/>
            </a:rPr>
            <a:pPr/>
            <a:t>Category</a:t>
          </a:fld>
          <a:endParaRPr lang="en-GB" sz="1100" b="1"/>
        </a:p>
      </xdr:txBody>
    </xdr:sp>
    <xdr:clientData/>
  </xdr:twoCellAnchor>
  <xdr:twoCellAnchor>
    <xdr:from>
      <xdr:col>3</xdr:col>
      <xdr:colOff>219075</xdr:colOff>
      <xdr:row>18</xdr:row>
      <xdr:rowOff>95250</xdr:rowOff>
    </xdr:from>
    <xdr:to>
      <xdr:col>4</xdr:col>
      <xdr:colOff>400050</xdr:colOff>
      <xdr:row>20</xdr:row>
      <xdr:rowOff>19050</xdr:rowOff>
    </xdr:to>
    <xdr:sp macro="" textlink="Analysis!O50">
      <xdr:nvSpPr>
        <xdr:cNvPr id="57" name="TextBox 56">
          <a:extLst>
            <a:ext uri="{FF2B5EF4-FFF2-40B4-BE49-F238E27FC236}">
              <a16:creationId xmlns:a16="http://schemas.microsoft.com/office/drawing/2014/main" id="{C307C086-99D0-471E-B490-78B6784E3A4B}"/>
            </a:ext>
          </a:extLst>
        </xdr:cNvPr>
        <xdr:cNvSpPr txBox="1"/>
      </xdr:nvSpPr>
      <xdr:spPr>
        <a:xfrm>
          <a:off x="2047875" y="3171825"/>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Sales</a:t>
          </a:r>
          <a:r>
            <a:rPr lang="en-GB" sz="1100" b="1" baseline="0"/>
            <a:t> Rep</a:t>
          </a:r>
          <a:endParaRPr lang="en-GB" sz="1100" b="1"/>
        </a:p>
      </xdr:txBody>
    </xdr:sp>
    <xdr:clientData/>
  </xdr:twoCellAnchor>
  <xdr:twoCellAnchor>
    <xdr:from>
      <xdr:col>3</xdr:col>
      <xdr:colOff>95250</xdr:colOff>
      <xdr:row>11</xdr:row>
      <xdr:rowOff>76200</xdr:rowOff>
    </xdr:from>
    <xdr:to>
      <xdr:col>4</xdr:col>
      <xdr:colOff>590550</xdr:colOff>
      <xdr:row>12</xdr:row>
      <xdr:rowOff>123825</xdr:rowOff>
    </xdr:to>
    <xdr:sp macro="" textlink="">
      <xdr:nvSpPr>
        <xdr:cNvPr id="58" name="TextBox 57">
          <a:extLst>
            <a:ext uri="{FF2B5EF4-FFF2-40B4-BE49-F238E27FC236}">
              <a16:creationId xmlns:a16="http://schemas.microsoft.com/office/drawing/2014/main" id="{A71560D6-42FF-49BA-B241-789FFEBAB736}"/>
            </a:ext>
          </a:extLst>
        </xdr:cNvPr>
        <xdr:cNvSpPr txBox="1"/>
      </xdr:nvSpPr>
      <xdr:spPr>
        <a:xfrm>
          <a:off x="1924050" y="1885950"/>
          <a:ext cx="11049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rgbClr val="000000"/>
              </a:solidFill>
              <a:latin typeface="Aptos Narrow"/>
            </a:rPr>
            <a:t>Order</a:t>
          </a:r>
          <a:r>
            <a:rPr lang="en-GB" sz="1100" b="1" i="0" u="none" strike="noStrike" baseline="0">
              <a:solidFill>
                <a:srgbClr val="000000"/>
              </a:solidFill>
              <a:latin typeface="Aptos Narrow"/>
            </a:rPr>
            <a:t> Category</a:t>
          </a:r>
          <a:endParaRPr lang="en-GB" sz="1100" b="1" i="0" u="none" strike="noStrike">
            <a:solidFill>
              <a:srgbClr val="000000"/>
            </a:solidFill>
            <a:latin typeface="Aptos Narrow"/>
          </a:endParaRPr>
        </a:p>
      </xdr:txBody>
    </xdr:sp>
    <xdr:clientData/>
  </xdr:twoCellAnchor>
  <xdr:twoCellAnchor editAs="oneCell">
    <xdr:from>
      <xdr:col>3</xdr:col>
      <xdr:colOff>95250</xdr:colOff>
      <xdr:row>26</xdr:row>
      <xdr:rowOff>142874</xdr:rowOff>
    </xdr:from>
    <xdr:to>
      <xdr:col>4</xdr:col>
      <xdr:colOff>561975</xdr:colOff>
      <xdr:row>35</xdr:row>
      <xdr:rowOff>38100</xdr:rowOff>
    </xdr:to>
    <mc:AlternateContent xmlns:mc="http://schemas.openxmlformats.org/markup-compatibility/2006" xmlns:tsle="http://schemas.microsoft.com/office/drawing/2012/timeslicer">
      <mc:Choice Requires="tsle">
        <xdr:graphicFrame macro="">
          <xdr:nvGraphicFramePr>
            <xdr:cNvPr id="60" name="OrderDate">
              <a:extLst>
                <a:ext uri="{FF2B5EF4-FFF2-40B4-BE49-F238E27FC236}">
                  <a16:creationId xmlns:a16="http://schemas.microsoft.com/office/drawing/2014/main" id="{AA228A4A-5813-42AD-8417-CE3520A9C565}"/>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924050" y="4848224"/>
              <a:ext cx="1076325" cy="152400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3</xdr:col>
      <xdr:colOff>158690</xdr:colOff>
      <xdr:row>1</xdr:row>
      <xdr:rowOff>95251</xdr:rowOff>
    </xdr:from>
    <xdr:to>
      <xdr:col>4</xdr:col>
      <xdr:colOff>438105</xdr:colOff>
      <xdr:row>6</xdr:row>
      <xdr:rowOff>19050</xdr:rowOff>
    </xdr:to>
    <xdr:pic>
      <xdr:nvPicPr>
        <xdr:cNvPr id="68" name="Graphic 67">
          <a:extLst>
            <a:ext uri="{FF2B5EF4-FFF2-40B4-BE49-F238E27FC236}">
              <a16:creationId xmlns:a16="http://schemas.microsoft.com/office/drawing/2014/main" id="{720FD875-DD8B-3607-17AD-0FF41C1BCC4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87490" y="276226"/>
          <a:ext cx="889015" cy="8286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GWE" refreshedDate="46214.134842476851" createdVersion="8" refreshedVersion="8" minRefreshableVersion="3" recordCount="500" xr:uid="{35E3D046-3D5C-496A-9DC7-580620D38CA5}">
  <cacheSource type="worksheet">
    <worksheetSource name="Retail_Sales_Data"/>
  </cacheSource>
  <cacheFields count="24">
    <cacheField name="OrderID" numFmtId="0">
      <sharedItems containsSemiMixedTypes="0" containsString="0" containsNumber="1" containsInteger="1" minValue="1" maxValue="500"/>
    </cacheField>
    <cacheField name="OrderDate" numFmtId="14">
      <sharedItems containsSemiMixedTypes="0" containsNonDate="0" containsDate="1" containsString="0" minDate="2024-01-01T00:00:00" maxDate="2025-12-06T00:00:00" count="487">
        <d v="2024-01-01T00:00:00"/>
        <d v="2024-01-02T00:00:00"/>
        <d v="2024-01-16T00:00:00"/>
        <d v="2024-01-21T00:00:00"/>
        <d v="2024-08-01T00:00:00"/>
        <d v="2024-01-12T00:00:00"/>
        <d v="2024-01-17T00:00:00"/>
        <d v="2024-01-13T00:00:00"/>
        <d v="2024-01-06T00:00:00"/>
        <d v="2024-01-07T00:00:00"/>
        <d v="2024-01-03T00:00:00"/>
        <d v="2024-01-09T00:00:00"/>
        <d v="2024-01-18T00:00:00"/>
        <d v="2024-01-14T00:00:00"/>
        <d v="2024-01-19T00:00:00"/>
        <d v="2024-01-11T00:00:00"/>
        <d v="2024-10-01T00:00:00"/>
        <d v="2024-01-15T00:00:00"/>
        <d v="2024-01-20T00:00:00"/>
        <d v="2024-01-05T00:00:00"/>
        <d v="2024-04-01T00:00:00"/>
        <d v="2024-01-22T00:00:00"/>
        <d v="2024-01-23T00:00:00"/>
        <d v="2024-01-24T00:00:00"/>
        <d v="2024-01-25T00:00:00"/>
        <d v="2024-01-26T00:00:00"/>
        <d v="2024-01-27T00:00:00"/>
        <d v="2024-01-28T00:00:00"/>
        <d v="2024-01-29T00:00:00"/>
        <d v="2024-01-30T00:00:00"/>
        <d v="2024-01-31T00:00:00"/>
        <d v="2024-02-02T00:00:00"/>
        <d v="2024-03-02T00:00:00"/>
        <d v="2024-02-04T00:00:00"/>
        <d v="2024-05-02T00:00:00"/>
        <d v="2024-02-06T00:00:00"/>
        <d v="2024-07-02T00:00:00"/>
        <d v="2024-02-08T00:00:00"/>
        <d v="2024-09-02T00:00:00"/>
        <d v="2024-02-10T00:00:00"/>
        <d v="2024-11-02T00:00:00"/>
        <d v="2024-12-0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2-03T00:00:00"/>
        <d v="2024-03-03T00:00:00"/>
        <d v="2024-04-03T00:00:00"/>
        <d v="2024-05-03T00:00:00"/>
        <d v="2024-06-03T00:00:00"/>
        <d v="2024-07-03T00:00:00"/>
        <d v="2024-08-03T00:00:00"/>
        <d v="2024-09-03T00:00:00"/>
        <d v="2024-10-03T00:00:00"/>
        <d v="2024-11-03T00:00:00"/>
        <d v="2024-12-03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1-04T00:00:00"/>
        <d v="2024-03-04T00:00:00"/>
        <d v="2024-04-04T00:00:00"/>
        <d v="2024-05-04T00:00:00"/>
        <d v="2024-06-04T00:00:00"/>
        <d v="2024-07-04T00:00:00"/>
        <d v="2024-08-04T00:00:00"/>
        <d v="2024-09-04T00:00:00"/>
        <d v="2024-10-04T00:00:00"/>
        <d v="2024-04-11T00:00:00"/>
        <d v="2024-12-04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2-05T00:00:00"/>
        <d v="2024-03-05T00:00:00"/>
        <d v="2024-04-05T00:00:00"/>
        <d v="2024-05-05T00:00:00"/>
        <d v="2024-06-05T00:00:00"/>
        <d v="2024-07-05T00:00:00"/>
        <d v="2024-08-05T00:00:00"/>
        <d v="2024-09-05T00:00:00"/>
        <d v="2024-10-05T00:00:00"/>
        <d v="2024-11-05T00:00:00"/>
        <d v="2024-12-05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3-06T00:00:00"/>
        <d v="2024-04-06T00:00:00"/>
        <d v="2024-05-06T00:00:00"/>
        <d v="2024-06-06T00:00:00"/>
        <d v="2024-07-06T00:00:00"/>
        <d v="2024-08-06T00:00:00"/>
        <d v="2024-09-06T00:00:00"/>
        <d v="2024-10-06T00:00:00"/>
        <d v="2024-11-06T00:00:00"/>
        <d v="2024-12-06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2-07T00:00:00"/>
        <d v="2024-03-07T00:00:00"/>
        <d v="2024-04-07T00:00:00"/>
        <d v="2024-05-07T00:00:00"/>
        <d v="2024-06-07T00:00:00"/>
        <d v="2024-07-07T00:00:00"/>
        <d v="2024-08-07T00:00:00"/>
        <d v="2024-09-07T00:00:00"/>
        <d v="2024-10-07T00:00:00"/>
        <d v="2024-11-07T00:00:00"/>
        <d v="2024-12-07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1-08T00:00:00"/>
        <d v="2024-03-08T00:00:00"/>
        <d v="2024-04-08T00:00:00"/>
        <d v="2024-05-08T00:00:00"/>
        <d v="2024-06-08T00:00:00"/>
        <d v="2024-07-08T00:00:00"/>
        <d v="2024-08-08T00:00:00"/>
        <d v="2024-09-08T00:00:00"/>
        <d v="2024-10-08T00:00:00"/>
        <d v="2024-11-08T00:00:00"/>
        <d v="2024-12-08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2-09T00:00:00"/>
        <d v="2024-03-09T00:00:00"/>
        <d v="2024-04-09T00:00:00"/>
        <d v="2024-05-09T00:00:00"/>
        <d v="2024-06-09T00:00:00"/>
        <d v="2024-07-09T00:00:00"/>
        <d v="2024-08-09T00:00:00"/>
        <d v="2024-09-09T00:00:00"/>
        <d v="2024-10-09T00:00:00"/>
        <d v="2024-11-09T00:00:00"/>
        <d v="2024-12-09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01-10T00:00:00"/>
        <d v="2024-03-10T00:00:00"/>
        <d v="2024-04-10T00:00:00"/>
        <d v="2024-05-10T00:00:00"/>
        <d v="2024-06-10T00:00:00"/>
        <d v="2024-07-10T00:00:00"/>
        <d v="2024-08-10T00:00:00"/>
        <d v="2024-09-10T00:00:00"/>
        <d v="2024-10-10T00:00:00"/>
        <d v="2024-11-10T00:00:00"/>
        <d v="2024-12-10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02-11T00:00:00"/>
        <d v="2024-03-11T00:00:00"/>
        <d v="2024-05-11T00:00:00"/>
        <d v="2024-06-11T00:00:00"/>
        <d v="2024-07-11T00:00:00"/>
        <d v="2024-08-11T00:00:00"/>
        <d v="2024-09-11T00:00:00"/>
        <d v="2024-10-11T00:00:00"/>
        <d v="2024-11-11T00:00:00"/>
        <d v="2024-12-11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02-12T00:00:00"/>
        <d v="2024-03-12T00:00:00"/>
        <d v="2024-04-12T00:00:00"/>
        <d v="2024-05-12T00:00:00"/>
        <d v="2024-06-12T00:00:00"/>
        <d v="2024-07-12T00:00:00"/>
        <d v="2024-08-12T00:00:00"/>
        <d v="2024-09-12T00:00:00"/>
        <d v="2024-10-12T00:00:00"/>
        <d v="2024-11-12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2-01T00:00:00"/>
        <d v="2025-03-01T00:00:00"/>
        <d v="2025-04-01T00:00:00"/>
        <d v="2025-05-01T00:00:00"/>
        <d v="2025-06-01T00:00:00"/>
        <d v="2025-07-01T00:00:00"/>
        <d v="2025-08-01T00:00:00"/>
        <d v="2025-09-01T00:00:00"/>
        <d v="2025-10-01T00:00:00"/>
        <d v="2025-11-01T00:00:00"/>
        <d v="2025-12-01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1-02T00:00:00"/>
        <d v="2025-02-02T00:00:00"/>
        <d v="2025-03-02T00:00:00"/>
        <d v="2025-04-02T00:00:00"/>
        <d v="2025-05-02T00:00:00"/>
        <d v="2025-06-02T00:00:00"/>
        <d v="2025-07-02T00:00:00"/>
        <d v="2025-08-02T00:00:00"/>
        <d v="2025-09-02T00:00:00"/>
        <d v="2025-10-02T00:00:00"/>
        <d v="2025-11-02T00:00:00"/>
        <d v="2025-12-0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1-03T00:00:00"/>
        <d v="2025-02-03T00:00:00"/>
        <d v="2025-03-03T00:00:00"/>
        <d v="2025-04-03T00:00:00"/>
        <d v="2025-05-03T00:00:00"/>
        <d v="2025-06-03T00:00:00"/>
        <d v="2025-07-03T00:00:00"/>
        <d v="2025-08-03T00:00:00"/>
        <d v="2025-09-03T00:00:00"/>
        <d v="2025-10-03T00:00:00"/>
        <d v="2025-11-03T00:00:00"/>
        <d v="2025-12-03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1-04T00:00:00"/>
        <d v="2025-02-04T00:00:00"/>
        <d v="2025-03-04T00:00:00"/>
        <d v="2025-04-04T00:00:00"/>
        <d v="2025-05-04T00:00:00"/>
        <d v="2025-06-04T00:00:00"/>
        <d v="2025-07-04T00:00:00"/>
        <d v="2025-08-04T00:00:00"/>
        <d v="2025-09-04T00:00:00"/>
        <d v="2025-10-04T00:00:00"/>
        <d v="2025-11-04T00:00:00"/>
        <d v="2025-12-04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1-05T00:00:00"/>
        <d v="2025-02-05T00:00:00"/>
        <d v="2025-03-05T00:00:00"/>
        <d v="2025-04-05T00:00:00"/>
        <d v="2025-05-05T00:00:00"/>
        <d v="2025-06-05T00:00:00"/>
        <d v="2025-07-05T00:00:00"/>
        <d v="2025-08-05T00:00:00"/>
        <d v="2025-09-05T00:00:00"/>
        <d v="2025-10-05T00:00:00"/>
        <d v="2025-11-05T00:00:00"/>
        <d v="2025-12-05T00:00:00"/>
        <d v="2025-05-13T00:00:00"/>
        <d v="2025-05-14T00:00:00"/>
      </sharedItems>
    </cacheField>
    <cacheField name="Month" numFmtId="0">
      <sharedItems count="12">
        <s v="Jan"/>
        <s v="Aug"/>
        <s v="Oct"/>
        <s v="Apr"/>
        <s v="Feb"/>
        <s v="Mar"/>
        <s v="May"/>
        <s v="Jul"/>
        <s v="Sep"/>
        <s v="Nov"/>
        <s v="Dec"/>
        <s v="Jun"/>
      </sharedItems>
    </cacheField>
    <cacheField name="Year" numFmtId="0">
      <sharedItems containsSemiMixedTypes="0" containsString="0" containsNumber="1" containsInteger="1" minValue="2024" maxValue="2025" count="2">
        <n v="2024"/>
        <n v="2025"/>
      </sharedItems>
    </cacheField>
    <cacheField name="Customer Name" numFmtId="0">
      <sharedItems/>
    </cacheField>
    <cacheField name="Customer.Country" numFmtId="0">
      <sharedItems/>
    </cacheField>
    <cacheField name="Customer.Region" numFmtId="0">
      <sharedItems/>
    </cacheField>
    <cacheField name="Product" numFmtId="0">
      <sharedItems count="6">
        <s v="Office Chair"/>
        <s v="Desk"/>
        <s v="Keyboard"/>
        <s v="Mouse"/>
        <s v="Monitor"/>
        <s v="Laptop"/>
      </sharedItems>
    </cacheField>
    <cacheField name="Category" numFmtId="0">
      <sharedItems count="2">
        <s v="Furniture"/>
        <s v="Electronics"/>
      </sharedItems>
    </cacheField>
    <cacheField name="Manufacturer" numFmtId="0">
      <sharedItems count="4">
        <s v="Ikea"/>
        <s v="Logitech"/>
        <s v="HP"/>
        <s v="Dell"/>
      </sharedItems>
    </cacheField>
    <cacheField name="Quantity" numFmtId="1">
      <sharedItems containsString="0" containsBlank="1" containsNumber="1" containsInteger="1" minValue="1" maxValue="5"/>
    </cacheField>
    <cacheField name="Quantity Flag" numFmtId="0">
      <sharedItems/>
    </cacheField>
    <cacheField name="Unit Price" numFmtId="44">
      <sharedItems containsSemiMixedTypes="0" containsString="0" containsNumber="1" containsInteger="1" minValue="20" maxValue="800"/>
    </cacheField>
    <cacheField name="Sales Rep" numFmtId="0">
      <sharedItems count="4">
        <s v="Emma Stone"/>
        <s v="Liam Jones"/>
        <s v="Noah White"/>
        <s v="Olivia King"/>
      </sharedItems>
    </cacheField>
    <cacheField name="Region" numFmtId="0">
      <sharedItems count="4">
        <s v="East"/>
        <s v="North"/>
        <s v="West"/>
        <s v="South"/>
      </sharedItems>
    </cacheField>
    <cacheField name="Experience Level" numFmtId="0">
      <sharedItems/>
    </cacheField>
    <cacheField name="Order Status" numFmtId="0">
      <sharedItems/>
    </cacheField>
    <cacheField name="Total Sales" numFmtId="44">
      <sharedItems containsString="0" containsBlank="1" containsNumber="1" containsInteger="1" minValue="20" maxValue="4000"/>
    </cacheField>
    <cacheField name="Discount" numFmtId="164">
      <sharedItems containsString="0" containsBlank="1" containsNumber="1" minValue="0" maxValue="280"/>
    </cacheField>
    <cacheField name="Order Category" numFmtId="0">
      <sharedItems containsBlank="1" count="4">
        <s v="Low"/>
        <m/>
        <s v="Medium"/>
        <s v="High"/>
      </sharedItems>
    </cacheField>
    <cacheField name="Net Sales" numFmtId="0">
      <sharedItems containsString="0" containsBlank="1" containsNumber="1" minValue="20" maxValue="3800"/>
    </cacheField>
    <cacheField name="Order Count" numFmtId="0">
      <sharedItems containsSemiMixedTypes="0" containsString="0" containsNumber="1" containsInteger="1" minValue="1" maxValue="1"/>
    </cacheField>
    <cacheField name="Average Order Value" numFmtId="0" formula="'Net Sales'/'Order Count'" databaseField="0"/>
    <cacheField name="AOV" numFmtId="0" formula="'Net Sales'/'Order Count'" databaseField="0"/>
  </cacheFields>
  <extLst>
    <ext xmlns:x14="http://schemas.microsoft.com/office/spreadsheetml/2009/9/main" uri="{725AE2AE-9491-48be-B2B4-4EB974FC3084}">
      <x14:pivotCacheDefinition pivotCacheId="198937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s v="John Doe"/>
    <s v="USA"/>
    <s v="East"/>
    <x v="0"/>
    <x v="0"/>
    <x v="0"/>
    <n v="2"/>
    <s v="Ok"/>
    <n v="150"/>
    <x v="0"/>
    <x v="0"/>
    <s v="Senior"/>
    <s v="Completed"/>
    <n v="300"/>
    <n v="15"/>
    <x v="0"/>
    <n v="285"/>
    <n v="1"/>
  </r>
  <r>
    <n v="2"/>
    <x v="1"/>
    <x v="0"/>
    <x v="0"/>
    <s v="John Doe"/>
    <s v="USA"/>
    <s v="East"/>
    <x v="0"/>
    <x v="0"/>
    <x v="0"/>
    <n v="1"/>
    <s v="Ok"/>
    <n v="150"/>
    <x v="0"/>
    <x v="0"/>
    <s v="Senior"/>
    <s v="Completed"/>
    <n v="150"/>
    <n v="0"/>
    <x v="0"/>
    <n v="150"/>
    <n v="1"/>
  </r>
  <r>
    <n v="16"/>
    <x v="2"/>
    <x v="0"/>
    <x v="0"/>
    <s v="John Doe"/>
    <s v="USA"/>
    <s v="East"/>
    <x v="0"/>
    <x v="0"/>
    <x v="0"/>
    <n v="1"/>
    <s v="Ok"/>
    <n v="150"/>
    <x v="0"/>
    <x v="0"/>
    <s v="Senior"/>
    <s v="Pending"/>
    <n v="150"/>
    <n v="0"/>
    <x v="0"/>
    <n v="150"/>
    <n v="1"/>
  </r>
  <r>
    <n v="21"/>
    <x v="3"/>
    <x v="0"/>
    <x v="0"/>
    <s v="John Doe"/>
    <s v="USA"/>
    <s v="East"/>
    <x v="0"/>
    <x v="0"/>
    <x v="0"/>
    <n v="3"/>
    <s v="Ok"/>
    <n v="150"/>
    <x v="0"/>
    <x v="0"/>
    <s v="Senior"/>
    <s v="Completed"/>
    <n v="450"/>
    <n v="22.5"/>
    <x v="0"/>
    <n v="427.5"/>
    <n v="1"/>
  </r>
  <r>
    <n v="8"/>
    <x v="4"/>
    <x v="1"/>
    <x v="0"/>
    <s v="John Doe"/>
    <s v="USA"/>
    <s v="East"/>
    <x v="1"/>
    <x v="0"/>
    <x v="0"/>
    <n v="1"/>
    <s v="Ok"/>
    <n v="300"/>
    <x v="0"/>
    <x v="0"/>
    <s v="Senior"/>
    <s v="Pending"/>
    <n v="300"/>
    <n v="0"/>
    <x v="0"/>
    <n v="300"/>
    <n v="1"/>
  </r>
  <r>
    <n v="12"/>
    <x v="5"/>
    <x v="0"/>
    <x v="0"/>
    <s v="John Doe"/>
    <s v="USA"/>
    <s v="East"/>
    <x v="2"/>
    <x v="1"/>
    <x v="1"/>
    <n v="2"/>
    <s v="Ok"/>
    <n v="50"/>
    <x v="1"/>
    <x v="1"/>
    <s v="Mid"/>
    <s v="Pending"/>
    <n v="100"/>
    <n v="4"/>
    <x v="0"/>
    <n v="96"/>
    <n v="1"/>
  </r>
  <r>
    <n v="17"/>
    <x v="6"/>
    <x v="0"/>
    <x v="0"/>
    <s v="Susan Lee"/>
    <s v="USA"/>
    <s v="West"/>
    <x v="3"/>
    <x v="1"/>
    <x v="1"/>
    <n v="2"/>
    <s v="Ok"/>
    <n v="20"/>
    <x v="1"/>
    <x v="2"/>
    <s v="Mid"/>
    <s v="Completed"/>
    <n v="40"/>
    <n v="0"/>
    <x v="0"/>
    <n v="40"/>
    <n v="1"/>
  </r>
  <r>
    <n v="13"/>
    <x v="7"/>
    <x v="0"/>
    <x v="0"/>
    <s v="Susan Lee"/>
    <s v="USA"/>
    <s v="West"/>
    <x v="1"/>
    <x v="0"/>
    <x v="0"/>
    <m/>
    <s v="Missing Quantity"/>
    <n v="300"/>
    <x v="2"/>
    <x v="2"/>
    <s v="Junior"/>
    <s v="Completed"/>
    <m/>
    <m/>
    <x v="1"/>
    <m/>
    <n v="1"/>
  </r>
  <r>
    <n v="6"/>
    <x v="8"/>
    <x v="0"/>
    <x v="0"/>
    <s v="Susan Lee"/>
    <s v="USA"/>
    <s v="West"/>
    <x v="2"/>
    <x v="1"/>
    <x v="1"/>
    <m/>
    <s v="Missing Quantity"/>
    <n v="50"/>
    <x v="0"/>
    <x v="1"/>
    <s v="Senior"/>
    <s v="Cancelled"/>
    <m/>
    <m/>
    <x v="1"/>
    <m/>
    <n v="1"/>
  </r>
  <r>
    <n v="7"/>
    <x v="9"/>
    <x v="0"/>
    <x v="0"/>
    <s v="Susan Lee"/>
    <s v="USA"/>
    <s v="West"/>
    <x v="4"/>
    <x v="1"/>
    <x v="2"/>
    <n v="4"/>
    <s v="Ok"/>
    <n v="200"/>
    <x v="1"/>
    <x v="0"/>
    <s v="Mid"/>
    <s v="Completed"/>
    <n v="800"/>
    <n v="40"/>
    <x v="0"/>
    <n v="760"/>
    <n v="1"/>
  </r>
  <r>
    <n v="3"/>
    <x v="10"/>
    <x v="0"/>
    <x v="0"/>
    <s v="Mary Smith"/>
    <s v="USA"/>
    <s v="North"/>
    <x v="1"/>
    <x v="0"/>
    <x v="0"/>
    <n v="3"/>
    <s v="Ok"/>
    <n v="300"/>
    <x v="1"/>
    <x v="2"/>
    <s v="Mid"/>
    <s v="Completed"/>
    <n v="900"/>
    <n v="63"/>
    <x v="0"/>
    <n v="837"/>
    <n v="1"/>
  </r>
  <r>
    <n v="9"/>
    <x v="11"/>
    <x v="0"/>
    <x v="0"/>
    <s v="Mary Smith"/>
    <s v="USA"/>
    <s v="North"/>
    <x v="5"/>
    <x v="1"/>
    <x v="3"/>
    <n v="2"/>
    <s v="Ok"/>
    <n v="800"/>
    <x v="2"/>
    <x v="2"/>
    <s v="Junior"/>
    <s v="Completed"/>
    <n v="1600"/>
    <n v="0"/>
    <x v="2"/>
    <n v="1600"/>
    <n v="1"/>
  </r>
  <r>
    <n v="18"/>
    <x v="12"/>
    <x v="0"/>
    <x v="0"/>
    <s v="Mary Smith"/>
    <s v="USA"/>
    <s v="North"/>
    <x v="2"/>
    <x v="1"/>
    <x v="1"/>
    <n v="5"/>
    <s v="Ok"/>
    <n v="50"/>
    <x v="2"/>
    <x v="1"/>
    <s v="Junior"/>
    <s v="Completed"/>
    <n v="250"/>
    <n v="10"/>
    <x v="0"/>
    <n v="240"/>
    <n v="1"/>
  </r>
  <r>
    <n v="14"/>
    <x v="13"/>
    <x v="0"/>
    <x v="0"/>
    <s v="Mary Smith"/>
    <s v="USA"/>
    <s v="North"/>
    <x v="4"/>
    <x v="1"/>
    <x v="2"/>
    <n v="3"/>
    <s v="Ok"/>
    <n v="200"/>
    <x v="0"/>
    <x v="0"/>
    <s v="Senior"/>
    <s v="Cancelled"/>
    <n v="600"/>
    <n v="30"/>
    <x v="0"/>
    <n v="570"/>
    <n v="1"/>
  </r>
  <r>
    <n v="19"/>
    <x v="14"/>
    <x v="0"/>
    <x v="0"/>
    <s v="Alex Brown"/>
    <s v="USA"/>
    <s v="South"/>
    <x v="1"/>
    <x v="0"/>
    <x v="0"/>
    <n v="4"/>
    <s v="Ok"/>
    <n v="300"/>
    <x v="0"/>
    <x v="0"/>
    <s v="Senior"/>
    <s v="Completed"/>
    <n v="1200"/>
    <n v="60"/>
    <x v="2"/>
    <n v="1140"/>
    <n v="1"/>
  </r>
  <r>
    <n v="11"/>
    <x v="15"/>
    <x v="0"/>
    <x v="0"/>
    <s v="Alex Brown"/>
    <s v="USA"/>
    <s v="South"/>
    <x v="3"/>
    <x v="1"/>
    <x v="1"/>
    <n v="1"/>
    <s v="Ok"/>
    <n v="20"/>
    <x v="0"/>
    <x v="0"/>
    <s v="Senior"/>
    <s v="Completed"/>
    <n v="20"/>
    <n v="0"/>
    <x v="0"/>
    <n v="20"/>
    <n v="1"/>
  </r>
  <r>
    <n v="10"/>
    <x v="16"/>
    <x v="2"/>
    <x v="0"/>
    <s v="Alex Brown"/>
    <s v="USA"/>
    <s v="South"/>
    <x v="0"/>
    <x v="0"/>
    <x v="0"/>
    <n v="3"/>
    <s v="Ok"/>
    <n v="150"/>
    <x v="3"/>
    <x v="3"/>
    <s v="Senior"/>
    <s v="Completed"/>
    <n v="450"/>
    <n v="27"/>
    <x v="0"/>
    <n v="423"/>
    <n v="1"/>
  </r>
  <r>
    <n v="15"/>
    <x v="17"/>
    <x v="0"/>
    <x v="0"/>
    <s v="Alex Brown"/>
    <s v="USA"/>
    <s v="South"/>
    <x v="5"/>
    <x v="1"/>
    <x v="3"/>
    <n v="2"/>
    <s v="Ok"/>
    <n v="800"/>
    <x v="3"/>
    <x v="3"/>
    <s v="Senior"/>
    <s v="Completed"/>
    <n v="1600"/>
    <n v="0"/>
    <x v="2"/>
    <n v="1600"/>
    <n v="1"/>
  </r>
  <r>
    <n v="20"/>
    <x v="18"/>
    <x v="0"/>
    <x v="0"/>
    <s v="Alex Brown"/>
    <s v="USA"/>
    <s v="South"/>
    <x v="5"/>
    <x v="1"/>
    <x v="3"/>
    <m/>
    <s v="Missing Quantity"/>
    <n v="800"/>
    <x v="3"/>
    <x v="3"/>
    <s v="Senior"/>
    <s v="Pending"/>
    <m/>
    <m/>
    <x v="1"/>
    <m/>
    <n v="1"/>
  </r>
  <r>
    <n v="5"/>
    <x v="19"/>
    <x v="0"/>
    <x v="0"/>
    <s v="Alex Brown"/>
    <s v="USA"/>
    <s v="South"/>
    <x v="3"/>
    <x v="1"/>
    <x v="1"/>
    <n v="2"/>
    <s v="Ok"/>
    <n v="20"/>
    <x v="3"/>
    <x v="3"/>
    <s v="Senior"/>
    <s v="Completed"/>
    <n v="40"/>
    <n v="0"/>
    <x v="0"/>
    <n v="40"/>
    <n v="1"/>
  </r>
  <r>
    <n v="4"/>
    <x v="20"/>
    <x v="3"/>
    <x v="0"/>
    <s v="Alex Brown"/>
    <s v="USA"/>
    <s v="South"/>
    <x v="5"/>
    <x v="1"/>
    <x v="3"/>
    <n v="5"/>
    <s v="Ok"/>
    <n v="800"/>
    <x v="2"/>
    <x v="2"/>
    <s v="Junior"/>
    <s v="Pending"/>
    <n v="4000"/>
    <n v="280"/>
    <x v="3"/>
    <n v="3720"/>
    <n v="1"/>
  </r>
  <r>
    <n v="22"/>
    <x v="21"/>
    <x v="0"/>
    <x v="0"/>
    <s v="Mary Smith"/>
    <s v="USA"/>
    <s v="North"/>
    <x v="3"/>
    <x v="1"/>
    <x v="1"/>
    <n v="1"/>
    <s v="Ok"/>
    <n v="20"/>
    <x v="1"/>
    <x v="2"/>
    <s v="Mid"/>
    <s v="Cancelled"/>
    <n v="20"/>
    <n v="0"/>
    <x v="0"/>
    <n v="20"/>
    <n v="1"/>
  </r>
  <r>
    <n v="23"/>
    <x v="22"/>
    <x v="0"/>
    <x v="0"/>
    <s v="Susan Lee"/>
    <s v="USA"/>
    <s v="West"/>
    <x v="4"/>
    <x v="1"/>
    <x v="2"/>
    <n v="2"/>
    <s v="Ok"/>
    <n v="200"/>
    <x v="2"/>
    <x v="2"/>
    <s v="Junior"/>
    <s v="Completed"/>
    <n v="400"/>
    <n v="0"/>
    <x v="0"/>
    <n v="400"/>
    <n v="1"/>
  </r>
  <r>
    <n v="24"/>
    <x v="23"/>
    <x v="0"/>
    <x v="0"/>
    <s v="Alex Brown"/>
    <s v="USA"/>
    <s v="South"/>
    <x v="2"/>
    <x v="1"/>
    <x v="1"/>
    <n v="2"/>
    <s v="Ok"/>
    <n v="50"/>
    <x v="0"/>
    <x v="1"/>
    <s v="Senior"/>
    <s v="Pending"/>
    <n v="100"/>
    <n v="4"/>
    <x v="0"/>
    <n v="96"/>
    <n v="1"/>
  </r>
  <r>
    <n v="25"/>
    <x v="24"/>
    <x v="0"/>
    <x v="0"/>
    <s v="John Doe"/>
    <s v="USA"/>
    <s v="East"/>
    <x v="1"/>
    <x v="0"/>
    <x v="0"/>
    <n v="5"/>
    <s v="Ok"/>
    <n v="300"/>
    <x v="3"/>
    <x v="0"/>
    <s v="Senior"/>
    <s v="Completed"/>
    <n v="1500"/>
    <n v="75"/>
    <x v="2"/>
    <n v="1425"/>
    <n v="1"/>
  </r>
  <r>
    <n v="26"/>
    <x v="25"/>
    <x v="0"/>
    <x v="0"/>
    <s v="Mary Smith"/>
    <s v="USA"/>
    <s v="North"/>
    <x v="5"/>
    <x v="1"/>
    <x v="3"/>
    <n v="3"/>
    <s v="Ok"/>
    <n v="800"/>
    <x v="0"/>
    <x v="0"/>
    <s v="Senior"/>
    <s v="Completed"/>
    <n v="2400"/>
    <n v="120"/>
    <x v="3"/>
    <n v="2280"/>
    <n v="1"/>
  </r>
  <r>
    <n v="27"/>
    <x v="26"/>
    <x v="0"/>
    <x v="0"/>
    <s v="Alex Brown"/>
    <s v="USA"/>
    <s v="South"/>
    <x v="0"/>
    <x v="0"/>
    <x v="0"/>
    <n v="1"/>
    <s v="Ok"/>
    <n v="150"/>
    <x v="1"/>
    <x v="3"/>
    <s v="Mid"/>
    <s v="Completed"/>
    <n v="150"/>
    <n v="0"/>
    <x v="0"/>
    <n v="150"/>
    <n v="1"/>
  </r>
  <r>
    <n v="28"/>
    <x v="27"/>
    <x v="0"/>
    <x v="0"/>
    <s v="Susan Lee"/>
    <s v="USA"/>
    <s v="West"/>
    <x v="3"/>
    <x v="1"/>
    <x v="1"/>
    <m/>
    <s v="Missing Quantity"/>
    <n v="20"/>
    <x v="2"/>
    <x v="2"/>
    <s v="Junior"/>
    <s v="Pending"/>
    <m/>
    <m/>
    <x v="1"/>
    <m/>
    <n v="1"/>
  </r>
  <r>
    <n v="29"/>
    <x v="28"/>
    <x v="0"/>
    <x v="0"/>
    <s v="John Doe"/>
    <s v="USA"/>
    <s v="East"/>
    <x v="2"/>
    <x v="1"/>
    <x v="1"/>
    <n v="2"/>
    <s v="Ok"/>
    <n v="50"/>
    <x v="0"/>
    <x v="0"/>
    <s v="Senior"/>
    <s v="Completed"/>
    <n v="100"/>
    <n v="5"/>
    <x v="0"/>
    <n v="95"/>
    <n v="1"/>
  </r>
  <r>
    <n v="30"/>
    <x v="29"/>
    <x v="0"/>
    <x v="0"/>
    <s v="Mary Smith"/>
    <s v="USA"/>
    <s v="North"/>
    <x v="1"/>
    <x v="0"/>
    <x v="0"/>
    <n v="4"/>
    <s v="Ok"/>
    <n v="300"/>
    <x v="3"/>
    <x v="2"/>
    <s v="Senior"/>
    <s v="Cancelled"/>
    <n v="1200"/>
    <n v="84"/>
    <x v="2"/>
    <n v="1116"/>
    <n v="1"/>
  </r>
  <r>
    <n v="31"/>
    <x v="30"/>
    <x v="0"/>
    <x v="0"/>
    <s v="Alex Brown"/>
    <s v="USA"/>
    <s v="South"/>
    <x v="5"/>
    <x v="1"/>
    <x v="3"/>
    <n v="1"/>
    <s v="Ok"/>
    <n v="800"/>
    <x v="0"/>
    <x v="1"/>
    <s v="Senior"/>
    <s v="Completed"/>
    <n v="800"/>
    <n v="0"/>
    <x v="0"/>
    <n v="800"/>
    <n v="1"/>
  </r>
  <r>
    <n v="32"/>
    <x v="1"/>
    <x v="0"/>
    <x v="0"/>
    <s v="Alex Brown"/>
    <s v="USA"/>
    <s v="South"/>
    <x v="4"/>
    <x v="1"/>
    <x v="2"/>
    <n v="3"/>
    <s v="Ok"/>
    <n v="200"/>
    <x v="1"/>
    <x v="0"/>
    <s v="Mid"/>
    <s v="Pending"/>
    <n v="600"/>
    <n v="30"/>
    <x v="0"/>
    <n v="570"/>
    <n v="1"/>
  </r>
  <r>
    <n v="33"/>
    <x v="31"/>
    <x v="4"/>
    <x v="0"/>
    <s v="John Doe"/>
    <s v="USA"/>
    <s v="East"/>
    <x v="0"/>
    <x v="0"/>
    <x v="0"/>
    <n v="2"/>
    <s v="Ok"/>
    <n v="150"/>
    <x v="2"/>
    <x v="3"/>
    <s v="Junior"/>
    <s v="Completed"/>
    <n v="300"/>
    <n v="0"/>
    <x v="0"/>
    <n v="300"/>
    <n v="1"/>
  </r>
  <r>
    <n v="34"/>
    <x v="32"/>
    <x v="5"/>
    <x v="0"/>
    <s v="Susan Lee"/>
    <s v="USA"/>
    <s v="West"/>
    <x v="3"/>
    <x v="1"/>
    <x v="1"/>
    <n v="5"/>
    <s v="Ok"/>
    <n v="20"/>
    <x v="0"/>
    <x v="2"/>
    <s v="Senior"/>
    <s v="Completed"/>
    <n v="100"/>
    <n v="7"/>
    <x v="0"/>
    <n v="93"/>
    <n v="1"/>
  </r>
  <r>
    <n v="35"/>
    <x v="33"/>
    <x v="4"/>
    <x v="0"/>
    <s v="Mary Smith"/>
    <s v="USA"/>
    <s v="North"/>
    <x v="2"/>
    <x v="1"/>
    <x v="1"/>
    <n v="1"/>
    <s v="Ok"/>
    <n v="50"/>
    <x v="3"/>
    <x v="0"/>
    <s v="Senior"/>
    <s v="Completed"/>
    <n v="50"/>
    <n v="0"/>
    <x v="0"/>
    <n v="50"/>
    <n v="1"/>
  </r>
  <r>
    <n v="36"/>
    <x v="34"/>
    <x v="6"/>
    <x v="0"/>
    <s v="Alex Brown"/>
    <s v="USA"/>
    <s v="South"/>
    <x v="1"/>
    <x v="0"/>
    <x v="0"/>
    <n v="2"/>
    <s v="Ok"/>
    <n v="300"/>
    <x v="0"/>
    <x v="2"/>
    <s v="Senior"/>
    <s v="Pending"/>
    <n v="600"/>
    <n v="0"/>
    <x v="0"/>
    <n v="600"/>
    <n v="1"/>
  </r>
  <r>
    <n v="37"/>
    <x v="35"/>
    <x v="4"/>
    <x v="0"/>
    <s v="John Doe"/>
    <s v="USA"/>
    <s v="East"/>
    <x v="5"/>
    <x v="1"/>
    <x v="3"/>
    <n v="3"/>
    <s v="Ok"/>
    <n v="800"/>
    <x v="1"/>
    <x v="1"/>
    <s v="Mid"/>
    <s v="Completed"/>
    <n v="2400"/>
    <n v="96"/>
    <x v="3"/>
    <n v="2304"/>
    <n v="1"/>
  </r>
  <r>
    <n v="38"/>
    <x v="36"/>
    <x v="7"/>
    <x v="0"/>
    <s v="Susan Lee"/>
    <s v="USA"/>
    <s v="West"/>
    <x v="0"/>
    <x v="0"/>
    <x v="0"/>
    <m/>
    <s v="Missing Quantity"/>
    <n v="150"/>
    <x v="2"/>
    <x v="0"/>
    <s v="Junior"/>
    <s v="Cancelled"/>
    <m/>
    <m/>
    <x v="1"/>
    <m/>
    <n v="1"/>
  </r>
  <r>
    <n v="39"/>
    <x v="37"/>
    <x v="4"/>
    <x v="0"/>
    <s v="Mary Smith"/>
    <s v="USA"/>
    <s v="North"/>
    <x v="3"/>
    <x v="1"/>
    <x v="1"/>
    <n v="2"/>
    <s v="Ok"/>
    <n v="20"/>
    <x v="0"/>
    <x v="0"/>
    <s v="Senior"/>
    <s v="Completed"/>
    <n v="40"/>
    <n v="2"/>
    <x v="0"/>
    <n v="38"/>
    <n v="1"/>
  </r>
  <r>
    <n v="40"/>
    <x v="38"/>
    <x v="8"/>
    <x v="0"/>
    <s v="Alex Brown"/>
    <s v="USA"/>
    <s v="South"/>
    <x v="2"/>
    <x v="1"/>
    <x v="1"/>
    <n v="4"/>
    <s v="Ok"/>
    <n v="50"/>
    <x v="3"/>
    <x v="3"/>
    <s v="Senior"/>
    <s v="Pending"/>
    <n v="200"/>
    <n v="12"/>
    <x v="0"/>
    <n v="188"/>
    <n v="1"/>
  </r>
  <r>
    <n v="41"/>
    <x v="39"/>
    <x v="4"/>
    <x v="0"/>
    <s v="Alex Brown"/>
    <s v="USA"/>
    <s v="South"/>
    <x v="1"/>
    <x v="0"/>
    <x v="0"/>
    <n v="1"/>
    <s v="Ok"/>
    <n v="300"/>
    <x v="0"/>
    <x v="0"/>
    <s v="Senior"/>
    <s v="Completed"/>
    <n v="300"/>
    <n v="0"/>
    <x v="0"/>
    <n v="300"/>
    <n v="1"/>
  </r>
  <r>
    <n v="42"/>
    <x v="40"/>
    <x v="9"/>
    <x v="0"/>
    <s v="John Doe"/>
    <s v="USA"/>
    <s v="East"/>
    <x v="5"/>
    <x v="1"/>
    <x v="3"/>
    <n v="5"/>
    <s v="Ok"/>
    <n v="800"/>
    <x v="1"/>
    <x v="2"/>
    <s v="Mid"/>
    <s v="Completed"/>
    <n v="4000"/>
    <n v="280"/>
    <x v="3"/>
    <n v="3720"/>
    <n v="1"/>
  </r>
  <r>
    <n v="43"/>
    <x v="41"/>
    <x v="10"/>
    <x v="0"/>
    <s v="Susan Lee"/>
    <s v="USA"/>
    <s v="West"/>
    <x v="4"/>
    <x v="1"/>
    <x v="2"/>
    <n v="2"/>
    <s v="Ok"/>
    <n v="200"/>
    <x v="2"/>
    <x v="2"/>
    <s v="Junior"/>
    <s v="Pending"/>
    <n v="400"/>
    <n v="0"/>
    <x v="0"/>
    <n v="400"/>
    <n v="1"/>
  </r>
  <r>
    <n v="44"/>
    <x v="42"/>
    <x v="4"/>
    <x v="0"/>
    <s v="Mary Smith"/>
    <s v="USA"/>
    <s v="North"/>
    <x v="0"/>
    <x v="0"/>
    <x v="0"/>
    <n v="3"/>
    <s v="Ok"/>
    <n v="150"/>
    <x v="0"/>
    <x v="0"/>
    <s v="Senior"/>
    <s v="Completed"/>
    <n v="450"/>
    <n v="22.5"/>
    <x v="0"/>
    <n v="427.5"/>
    <n v="1"/>
  </r>
  <r>
    <n v="45"/>
    <x v="43"/>
    <x v="4"/>
    <x v="0"/>
    <s v="Alex Brown"/>
    <s v="USA"/>
    <s v="South"/>
    <x v="3"/>
    <x v="1"/>
    <x v="1"/>
    <n v="1"/>
    <s v="Ok"/>
    <n v="20"/>
    <x v="3"/>
    <x v="3"/>
    <s v="Senior"/>
    <s v="Completed"/>
    <n v="20"/>
    <n v="0"/>
    <x v="0"/>
    <n v="20"/>
    <n v="1"/>
  </r>
  <r>
    <n v="46"/>
    <x v="44"/>
    <x v="4"/>
    <x v="0"/>
    <s v="John Doe"/>
    <s v="USA"/>
    <s v="East"/>
    <x v="2"/>
    <x v="1"/>
    <x v="1"/>
    <n v="2"/>
    <s v="Ok"/>
    <n v="50"/>
    <x v="0"/>
    <x v="1"/>
    <s v="Senior"/>
    <s v="Pending"/>
    <n v="100"/>
    <n v="4"/>
    <x v="0"/>
    <n v="96"/>
    <n v="1"/>
  </r>
  <r>
    <n v="47"/>
    <x v="45"/>
    <x v="4"/>
    <x v="0"/>
    <s v="Susan Lee"/>
    <s v="USA"/>
    <s v="West"/>
    <x v="1"/>
    <x v="0"/>
    <x v="0"/>
    <n v="4"/>
    <s v="Ok"/>
    <n v="300"/>
    <x v="1"/>
    <x v="0"/>
    <s v="Mid"/>
    <s v="Completed"/>
    <n v="1200"/>
    <n v="60"/>
    <x v="2"/>
    <n v="1140"/>
    <n v="1"/>
  </r>
  <r>
    <n v="48"/>
    <x v="46"/>
    <x v="4"/>
    <x v="0"/>
    <s v="Mary Smith"/>
    <s v="USA"/>
    <s v="North"/>
    <x v="5"/>
    <x v="1"/>
    <x v="3"/>
    <m/>
    <s v="Missing Quantity"/>
    <n v="800"/>
    <x v="2"/>
    <x v="2"/>
    <s v="Junior"/>
    <s v="Cancelled"/>
    <m/>
    <m/>
    <x v="1"/>
    <m/>
    <n v="1"/>
  </r>
  <r>
    <n v="49"/>
    <x v="47"/>
    <x v="4"/>
    <x v="0"/>
    <s v="Alex Brown"/>
    <s v="USA"/>
    <s v="South"/>
    <x v="0"/>
    <x v="0"/>
    <x v="0"/>
    <n v="2"/>
    <s v="Ok"/>
    <n v="150"/>
    <x v="0"/>
    <x v="0"/>
    <s v="Senior"/>
    <s v="Completed"/>
    <n v="300"/>
    <n v="15"/>
    <x v="0"/>
    <n v="285"/>
    <n v="1"/>
  </r>
  <r>
    <n v="50"/>
    <x v="48"/>
    <x v="4"/>
    <x v="0"/>
    <s v="John Doe"/>
    <s v="USA"/>
    <s v="East"/>
    <x v="3"/>
    <x v="1"/>
    <x v="1"/>
    <n v="5"/>
    <s v="Ok"/>
    <n v="20"/>
    <x v="3"/>
    <x v="2"/>
    <s v="Senior"/>
    <s v="Pending"/>
    <n v="100"/>
    <n v="7"/>
    <x v="0"/>
    <n v="93"/>
    <n v="1"/>
  </r>
  <r>
    <n v="51"/>
    <x v="49"/>
    <x v="4"/>
    <x v="0"/>
    <s v="Mary Smith"/>
    <s v="USA"/>
    <s v="North"/>
    <x v="2"/>
    <x v="1"/>
    <x v="1"/>
    <n v="1"/>
    <s v="Ok"/>
    <n v="50"/>
    <x v="0"/>
    <x v="0"/>
    <s v="Senior"/>
    <s v="Completed"/>
    <n v="50"/>
    <n v="0"/>
    <x v="0"/>
    <n v="50"/>
    <n v="1"/>
  </r>
  <r>
    <n v="52"/>
    <x v="50"/>
    <x v="4"/>
    <x v="0"/>
    <s v="Alex Brown"/>
    <s v="USA"/>
    <s v="South"/>
    <x v="1"/>
    <x v="0"/>
    <x v="0"/>
    <n v="3"/>
    <s v="Ok"/>
    <n v="300"/>
    <x v="1"/>
    <x v="2"/>
    <s v="Mid"/>
    <s v="Pending"/>
    <n v="900"/>
    <n v="63"/>
    <x v="0"/>
    <n v="837"/>
    <n v="1"/>
  </r>
  <r>
    <n v="53"/>
    <x v="51"/>
    <x v="4"/>
    <x v="0"/>
    <s v="John Doe"/>
    <s v="USA"/>
    <s v="East"/>
    <x v="5"/>
    <x v="1"/>
    <x v="3"/>
    <n v="2"/>
    <s v="Ok"/>
    <n v="800"/>
    <x v="2"/>
    <x v="1"/>
    <s v="Junior"/>
    <s v="Completed"/>
    <n v="1600"/>
    <n v="64"/>
    <x v="2"/>
    <n v="1536"/>
    <n v="1"/>
  </r>
  <r>
    <n v="54"/>
    <x v="52"/>
    <x v="4"/>
    <x v="0"/>
    <s v="Susan Lee"/>
    <s v="USA"/>
    <s v="West"/>
    <x v="0"/>
    <x v="0"/>
    <x v="0"/>
    <n v="1"/>
    <s v="Ok"/>
    <n v="150"/>
    <x v="0"/>
    <x v="0"/>
    <s v="Senior"/>
    <s v="Completed"/>
    <n v="150"/>
    <n v="0"/>
    <x v="0"/>
    <n v="150"/>
    <n v="1"/>
  </r>
  <r>
    <n v="55"/>
    <x v="53"/>
    <x v="4"/>
    <x v="0"/>
    <s v="Mary Smith"/>
    <s v="USA"/>
    <s v="North"/>
    <x v="3"/>
    <x v="1"/>
    <x v="1"/>
    <m/>
    <s v="Missing Quantity"/>
    <n v="20"/>
    <x v="3"/>
    <x v="3"/>
    <s v="Senior"/>
    <s v="Cancelled"/>
    <m/>
    <m/>
    <x v="1"/>
    <m/>
    <n v="1"/>
  </r>
  <r>
    <n v="56"/>
    <x v="54"/>
    <x v="4"/>
    <x v="0"/>
    <s v="Alex Brown"/>
    <s v="USA"/>
    <s v="South"/>
    <x v="2"/>
    <x v="1"/>
    <x v="1"/>
    <n v="5"/>
    <s v="Ok"/>
    <n v="50"/>
    <x v="0"/>
    <x v="0"/>
    <s v="Senior"/>
    <s v="Pending"/>
    <n v="250"/>
    <n v="12.5"/>
    <x v="0"/>
    <n v="237.5"/>
    <n v="1"/>
  </r>
  <r>
    <n v="57"/>
    <x v="55"/>
    <x v="4"/>
    <x v="0"/>
    <s v="John Doe"/>
    <s v="USA"/>
    <s v="East"/>
    <x v="1"/>
    <x v="0"/>
    <x v="0"/>
    <n v="2"/>
    <s v="Ok"/>
    <n v="300"/>
    <x v="1"/>
    <x v="2"/>
    <s v="Mid"/>
    <s v="Completed"/>
    <n v="600"/>
    <n v="0"/>
    <x v="0"/>
    <n v="600"/>
    <n v="1"/>
  </r>
  <r>
    <n v="58"/>
    <x v="56"/>
    <x v="4"/>
    <x v="0"/>
    <s v="Susan Lee"/>
    <s v="USA"/>
    <s v="West"/>
    <x v="5"/>
    <x v="1"/>
    <x v="3"/>
    <n v="3"/>
    <s v="Ok"/>
    <n v="800"/>
    <x v="2"/>
    <x v="2"/>
    <s v="Junior"/>
    <s v="Completed"/>
    <n v="2400"/>
    <n v="168"/>
    <x v="3"/>
    <n v="2232"/>
    <n v="1"/>
  </r>
  <r>
    <n v="59"/>
    <x v="57"/>
    <x v="4"/>
    <x v="0"/>
    <s v="Mary Smith"/>
    <s v="USA"/>
    <s v="North"/>
    <x v="4"/>
    <x v="1"/>
    <x v="2"/>
    <n v="2"/>
    <s v="Ok"/>
    <n v="200"/>
    <x v="0"/>
    <x v="1"/>
    <s v="Senior"/>
    <s v="Pending"/>
    <n v="400"/>
    <n v="16"/>
    <x v="0"/>
    <n v="384"/>
    <n v="1"/>
  </r>
  <r>
    <n v="60"/>
    <x v="58"/>
    <x v="4"/>
    <x v="0"/>
    <s v="Alex Brown"/>
    <s v="USA"/>
    <s v="South"/>
    <x v="0"/>
    <x v="0"/>
    <x v="0"/>
    <n v="4"/>
    <s v="Ok"/>
    <n v="150"/>
    <x v="3"/>
    <x v="0"/>
    <s v="Senior"/>
    <s v="Completed"/>
    <n v="600"/>
    <n v="30"/>
    <x v="0"/>
    <n v="570"/>
    <n v="1"/>
  </r>
  <r>
    <n v="61"/>
    <x v="10"/>
    <x v="0"/>
    <x v="0"/>
    <s v="John Doe"/>
    <s v="USA"/>
    <s v="East"/>
    <x v="3"/>
    <x v="1"/>
    <x v="1"/>
    <n v="1"/>
    <s v="Ok"/>
    <n v="20"/>
    <x v="0"/>
    <x v="0"/>
    <s v="Senior"/>
    <s v="Completed"/>
    <n v="20"/>
    <n v="0"/>
    <x v="0"/>
    <n v="20"/>
    <n v="1"/>
  </r>
  <r>
    <n v="62"/>
    <x v="59"/>
    <x v="4"/>
    <x v="0"/>
    <s v="Susan Lee"/>
    <s v="USA"/>
    <s v="West"/>
    <x v="2"/>
    <x v="1"/>
    <x v="1"/>
    <n v="2"/>
    <s v="Ok"/>
    <n v="50"/>
    <x v="1"/>
    <x v="2"/>
    <s v="Mid"/>
    <s v="Completed"/>
    <n v="100"/>
    <n v="0"/>
    <x v="0"/>
    <n v="100"/>
    <n v="1"/>
  </r>
  <r>
    <n v="63"/>
    <x v="60"/>
    <x v="5"/>
    <x v="0"/>
    <s v="Mary Smith"/>
    <s v="USA"/>
    <s v="North"/>
    <x v="1"/>
    <x v="0"/>
    <x v="0"/>
    <n v="5"/>
    <s v="Ok"/>
    <n v="300"/>
    <x v="2"/>
    <x v="2"/>
    <s v="Junior"/>
    <s v="Pending"/>
    <n v="1500"/>
    <n v="105"/>
    <x v="2"/>
    <n v="1395"/>
    <n v="1"/>
  </r>
  <r>
    <n v="64"/>
    <x v="61"/>
    <x v="3"/>
    <x v="0"/>
    <s v="Alex Brown"/>
    <s v="USA"/>
    <s v="South"/>
    <x v="5"/>
    <x v="1"/>
    <x v="3"/>
    <n v="2"/>
    <s v="Ok"/>
    <n v="800"/>
    <x v="0"/>
    <x v="1"/>
    <s v="Senior"/>
    <s v="Completed"/>
    <n v="1600"/>
    <n v="64"/>
    <x v="2"/>
    <n v="1536"/>
    <n v="1"/>
  </r>
  <r>
    <n v="65"/>
    <x v="62"/>
    <x v="6"/>
    <x v="0"/>
    <s v="John Doe"/>
    <s v="USA"/>
    <s v="East"/>
    <x v="0"/>
    <x v="0"/>
    <x v="0"/>
    <n v="3"/>
    <s v="Ok"/>
    <n v="150"/>
    <x v="3"/>
    <x v="3"/>
    <s v="Senior"/>
    <s v="Completed"/>
    <n v="450"/>
    <n v="27"/>
    <x v="0"/>
    <n v="423"/>
    <n v="1"/>
  </r>
  <r>
    <n v="66"/>
    <x v="63"/>
    <x v="11"/>
    <x v="0"/>
    <s v="Susan Lee"/>
    <s v="USA"/>
    <s v="West"/>
    <x v="3"/>
    <x v="1"/>
    <x v="1"/>
    <m/>
    <s v="Missing Quantity"/>
    <n v="20"/>
    <x v="0"/>
    <x v="0"/>
    <s v="Senior"/>
    <s v="Pending"/>
    <m/>
    <m/>
    <x v="1"/>
    <m/>
    <n v="1"/>
  </r>
  <r>
    <n v="67"/>
    <x v="64"/>
    <x v="7"/>
    <x v="0"/>
    <s v="Mary Smith"/>
    <s v="USA"/>
    <s v="North"/>
    <x v="2"/>
    <x v="1"/>
    <x v="1"/>
    <n v="4"/>
    <s v="Ok"/>
    <n v="50"/>
    <x v="1"/>
    <x v="2"/>
    <s v="Mid"/>
    <s v="Completed"/>
    <n v="200"/>
    <n v="14"/>
    <x v="0"/>
    <n v="186"/>
    <n v="1"/>
  </r>
  <r>
    <n v="68"/>
    <x v="65"/>
    <x v="1"/>
    <x v="0"/>
    <s v="Alex Brown"/>
    <s v="USA"/>
    <s v="South"/>
    <x v="1"/>
    <x v="0"/>
    <x v="0"/>
    <n v="1"/>
    <s v="Ok"/>
    <n v="300"/>
    <x v="2"/>
    <x v="0"/>
    <s v="Junior"/>
    <s v="Cancelled"/>
    <n v="300"/>
    <n v="0"/>
    <x v="0"/>
    <n v="300"/>
    <n v="1"/>
  </r>
  <r>
    <n v="69"/>
    <x v="66"/>
    <x v="8"/>
    <x v="0"/>
    <s v="John Doe"/>
    <s v="USA"/>
    <s v="East"/>
    <x v="5"/>
    <x v="1"/>
    <x v="3"/>
    <n v="5"/>
    <s v="Ok"/>
    <n v="800"/>
    <x v="0"/>
    <x v="0"/>
    <s v="Senior"/>
    <s v="Completed"/>
    <n v="4000"/>
    <n v="200"/>
    <x v="3"/>
    <n v="3800"/>
    <n v="1"/>
  </r>
  <r>
    <n v="70"/>
    <x v="67"/>
    <x v="2"/>
    <x v="0"/>
    <s v="Susan Lee"/>
    <s v="USA"/>
    <s v="West"/>
    <x v="4"/>
    <x v="1"/>
    <x v="2"/>
    <n v="2"/>
    <s v="Ok"/>
    <n v="200"/>
    <x v="3"/>
    <x v="3"/>
    <s v="Senior"/>
    <s v="Pending"/>
    <n v="400"/>
    <n v="0"/>
    <x v="0"/>
    <n v="400"/>
    <n v="1"/>
  </r>
  <r>
    <n v="71"/>
    <x v="68"/>
    <x v="9"/>
    <x v="0"/>
    <s v="Mary Smith"/>
    <s v="USA"/>
    <s v="North"/>
    <x v="0"/>
    <x v="0"/>
    <x v="0"/>
    <n v="3"/>
    <s v="Ok"/>
    <n v="150"/>
    <x v="0"/>
    <x v="0"/>
    <s v="Senior"/>
    <s v="Completed"/>
    <n v="450"/>
    <n v="22.5"/>
    <x v="0"/>
    <n v="427.5"/>
    <n v="1"/>
  </r>
  <r>
    <n v="72"/>
    <x v="69"/>
    <x v="10"/>
    <x v="0"/>
    <s v="Alex Brown"/>
    <s v="USA"/>
    <s v="South"/>
    <x v="3"/>
    <x v="1"/>
    <x v="1"/>
    <n v="1"/>
    <s v="Ok"/>
    <n v="20"/>
    <x v="1"/>
    <x v="2"/>
    <s v="Mid"/>
    <s v="Completed"/>
    <n v="20"/>
    <n v="0"/>
    <x v="0"/>
    <n v="20"/>
    <n v="1"/>
  </r>
  <r>
    <n v="73"/>
    <x v="70"/>
    <x v="5"/>
    <x v="0"/>
    <s v="John Doe"/>
    <s v="USA"/>
    <s v="East"/>
    <x v="2"/>
    <x v="1"/>
    <x v="1"/>
    <n v="2"/>
    <s v="Ok"/>
    <n v="50"/>
    <x v="2"/>
    <x v="1"/>
    <s v="Junior"/>
    <s v="Pending"/>
    <n v="100"/>
    <n v="4"/>
    <x v="0"/>
    <n v="96"/>
    <n v="1"/>
  </r>
  <r>
    <n v="74"/>
    <x v="71"/>
    <x v="5"/>
    <x v="0"/>
    <s v="Susan Lee"/>
    <s v="USA"/>
    <s v="West"/>
    <x v="1"/>
    <x v="0"/>
    <x v="0"/>
    <n v="4"/>
    <s v="Ok"/>
    <n v="300"/>
    <x v="0"/>
    <x v="0"/>
    <s v="Senior"/>
    <s v="Completed"/>
    <n v="1200"/>
    <n v="60"/>
    <x v="2"/>
    <n v="1140"/>
    <n v="1"/>
  </r>
  <r>
    <n v="75"/>
    <x v="72"/>
    <x v="5"/>
    <x v="0"/>
    <s v="Mary Smith"/>
    <s v="USA"/>
    <s v="North"/>
    <x v="5"/>
    <x v="1"/>
    <x v="3"/>
    <m/>
    <s v="Missing Quantity"/>
    <n v="800"/>
    <x v="3"/>
    <x v="2"/>
    <s v="Senior"/>
    <s v="Cancelled"/>
    <m/>
    <m/>
    <x v="1"/>
    <m/>
    <n v="1"/>
  </r>
  <r>
    <n v="76"/>
    <x v="73"/>
    <x v="5"/>
    <x v="0"/>
    <s v="Alex Brown"/>
    <s v="USA"/>
    <s v="South"/>
    <x v="0"/>
    <x v="0"/>
    <x v="0"/>
    <n v="2"/>
    <s v="Ok"/>
    <n v="150"/>
    <x v="0"/>
    <x v="0"/>
    <s v="Senior"/>
    <s v="Completed"/>
    <n v="300"/>
    <n v="15"/>
    <x v="0"/>
    <n v="285"/>
    <n v="1"/>
  </r>
  <r>
    <n v="77"/>
    <x v="74"/>
    <x v="5"/>
    <x v="0"/>
    <s v="John Doe"/>
    <s v="USA"/>
    <s v="East"/>
    <x v="3"/>
    <x v="1"/>
    <x v="1"/>
    <n v="5"/>
    <s v="Ok"/>
    <n v="20"/>
    <x v="1"/>
    <x v="3"/>
    <s v="Mid"/>
    <s v="Pending"/>
    <n v="100"/>
    <n v="6"/>
    <x v="0"/>
    <n v="94"/>
    <n v="1"/>
  </r>
  <r>
    <n v="78"/>
    <x v="75"/>
    <x v="5"/>
    <x v="0"/>
    <s v="Susan Lee"/>
    <s v="USA"/>
    <s v="West"/>
    <x v="2"/>
    <x v="1"/>
    <x v="1"/>
    <n v="1"/>
    <s v="Ok"/>
    <n v="50"/>
    <x v="2"/>
    <x v="0"/>
    <s v="Junior"/>
    <s v="Completed"/>
    <n v="50"/>
    <n v="0"/>
    <x v="0"/>
    <n v="50"/>
    <n v="1"/>
  </r>
  <r>
    <n v="79"/>
    <x v="76"/>
    <x v="5"/>
    <x v="0"/>
    <s v="Mary Smith"/>
    <s v="USA"/>
    <s v="North"/>
    <x v="1"/>
    <x v="0"/>
    <x v="0"/>
    <n v="3"/>
    <s v="Ok"/>
    <n v="300"/>
    <x v="0"/>
    <x v="2"/>
    <s v="Senior"/>
    <s v="Pending"/>
    <n v="900"/>
    <n v="63"/>
    <x v="0"/>
    <n v="837"/>
    <n v="1"/>
  </r>
  <r>
    <n v="80"/>
    <x v="77"/>
    <x v="5"/>
    <x v="0"/>
    <s v="Alex Brown"/>
    <s v="USA"/>
    <s v="South"/>
    <x v="5"/>
    <x v="1"/>
    <x v="3"/>
    <n v="2"/>
    <s v="Ok"/>
    <n v="800"/>
    <x v="3"/>
    <x v="1"/>
    <s v="Senior"/>
    <s v="Completed"/>
    <n v="1600"/>
    <n v="64"/>
    <x v="2"/>
    <n v="1536"/>
    <n v="1"/>
  </r>
  <r>
    <n v="81"/>
    <x v="78"/>
    <x v="5"/>
    <x v="0"/>
    <s v="John Doe"/>
    <s v="USA"/>
    <s v="East"/>
    <x v="0"/>
    <x v="0"/>
    <x v="0"/>
    <n v="4"/>
    <s v="Ok"/>
    <n v="150"/>
    <x v="0"/>
    <x v="0"/>
    <s v="Senior"/>
    <s v="Completed"/>
    <n v="600"/>
    <n v="30"/>
    <x v="0"/>
    <n v="570"/>
    <n v="1"/>
  </r>
  <r>
    <n v="82"/>
    <x v="79"/>
    <x v="5"/>
    <x v="0"/>
    <s v="Susan Lee"/>
    <s v="USA"/>
    <s v="West"/>
    <x v="3"/>
    <x v="1"/>
    <x v="1"/>
    <n v="1"/>
    <s v="Ok"/>
    <n v="20"/>
    <x v="1"/>
    <x v="2"/>
    <s v="Mid"/>
    <s v="Cancelled"/>
    <n v="20"/>
    <n v="0"/>
    <x v="0"/>
    <n v="20"/>
    <n v="1"/>
  </r>
  <r>
    <n v="83"/>
    <x v="80"/>
    <x v="5"/>
    <x v="0"/>
    <s v="Mary Smith"/>
    <s v="USA"/>
    <s v="North"/>
    <x v="2"/>
    <x v="1"/>
    <x v="1"/>
    <n v="2"/>
    <s v="Ok"/>
    <n v="50"/>
    <x v="2"/>
    <x v="0"/>
    <s v="Junior"/>
    <s v="Pending"/>
    <n v="100"/>
    <n v="5"/>
    <x v="0"/>
    <n v="95"/>
    <n v="1"/>
  </r>
  <r>
    <n v="84"/>
    <x v="81"/>
    <x v="5"/>
    <x v="0"/>
    <s v="Alex Brown"/>
    <s v="USA"/>
    <s v="South"/>
    <x v="1"/>
    <x v="0"/>
    <x v="0"/>
    <n v="5"/>
    <s v="Ok"/>
    <n v="300"/>
    <x v="0"/>
    <x v="3"/>
    <s v="Senior"/>
    <s v="Completed"/>
    <n v="1500"/>
    <n v="90"/>
    <x v="2"/>
    <n v="1410"/>
    <n v="1"/>
  </r>
  <r>
    <n v="85"/>
    <x v="82"/>
    <x v="5"/>
    <x v="0"/>
    <s v="John Doe"/>
    <s v="USA"/>
    <s v="East"/>
    <x v="5"/>
    <x v="1"/>
    <x v="3"/>
    <n v="3"/>
    <s v="Ok"/>
    <n v="800"/>
    <x v="3"/>
    <x v="0"/>
    <s v="Senior"/>
    <s v="Completed"/>
    <n v="2400"/>
    <n v="120"/>
    <x v="3"/>
    <n v="2280"/>
    <n v="1"/>
  </r>
  <r>
    <n v="86"/>
    <x v="83"/>
    <x v="5"/>
    <x v="0"/>
    <s v="Susan Lee"/>
    <s v="USA"/>
    <s v="West"/>
    <x v="0"/>
    <x v="0"/>
    <x v="0"/>
    <m/>
    <s v="Missing Quantity"/>
    <n v="150"/>
    <x v="0"/>
    <x v="2"/>
    <s v="Senior"/>
    <s v="Pending"/>
    <m/>
    <m/>
    <x v="1"/>
    <m/>
    <n v="1"/>
  </r>
  <r>
    <n v="87"/>
    <x v="84"/>
    <x v="5"/>
    <x v="0"/>
    <s v="Mary Smith"/>
    <s v="USA"/>
    <s v="North"/>
    <x v="3"/>
    <x v="1"/>
    <x v="1"/>
    <n v="2"/>
    <s v="Ok"/>
    <n v="20"/>
    <x v="1"/>
    <x v="1"/>
    <s v="Mid"/>
    <s v="Completed"/>
    <n v="40"/>
    <n v="1.6"/>
    <x v="0"/>
    <n v="38.4"/>
    <n v="1"/>
  </r>
  <r>
    <n v="88"/>
    <x v="85"/>
    <x v="5"/>
    <x v="0"/>
    <s v="Alex Brown"/>
    <s v="USA"/>
    <s v="South"/>
    <x v="2"/>
    <x v="1"/>
    <x v="1"/>
    <n v="1"/>
    <s v="Ok"/>
    <n v="50"/>
    <x v="2"/>
    <x v="0"/>
    <s v="Junior"/>
    <s v="Completed"/>
    <n v="50"/>
    <n v="0"/>
    <x v="0"/>
    <n v="50"/>
    <n v="1"/>
  </r>
  <r>
    <n v="89"/>
    <x v="86"/>
    <x v="5"/>
    <x v="0"/>
    <s v="John Doe"/>
    <s v="USA"/>
    <s v="East"/>
    <x v="1"/>
    <x v="0"/>
    <x v="0"/>
    <n v="4"/>
    <s v="Ok"/>
    <n v="300"/>
    <x v="0"/>
    <x v="2"/>
    <s v="Senior"/>
    <s v="Pending"/>
    <n v="1200"/>
    <n v="84"/>
    <x v="2"/>
    <n v="1116"/>
    <n v="1"/>
  </r>
  <r>
    <n v="90"/>
    <x v="87"/>
    <x v="5"/>
    <x v="0"/>
    <s v="Susan Lee"/>
    <s v="USA"/>
    <s v="West"/>
    <x v="5"/>
    <x v="1"/>
    <x v="3"/>
    <n v="2"/>
    <s v="Ok"/>
    <n v="800"/>
    <x v="3"/>
    <x v="0"/>
    <s v="Senior"/>
    <s v="Completed"/>
    <n v="1600"/>
    <n v="80"/>
    <x v="2"/>
    <n v="1520"/>
    <n v="1"/>
  </r>
  <r>
    <n v="91"/>
    <x v="88"/>
    <x v="5"/>
    <x v="0"/>
    <s v="Mary Smith"/>
    <s v="USA"/>
    <s v="North"/>
    <x v="4"/>
    <x v="1"/>
    <x v="2"/>
    <n v="5"/>
    <s v="Ok"/>
    <n v="200"/>
    <x v="0"/>
    <x v="0"/>
    <s v="Senior"/>
    <s v="Cancelled"/>
    <n v="1000"/>
    <n v="50"/>
    <x v="2"/>
    <n v="950"/>
    <n v="1"/>
  </r>
  <r>
    <n v="92"/>
    <x v="89"/>
    <x v="0"/>
    <x v="0"/>
    <s v="Alex Brown"/>
    <s v="USA"/>
    <s v="South"/>
    <x v="0"/>
    <x v="0"/>
    <x v="0"/>
    <n v="3"/>
    <s v="Ok"/>
    <n v="150"/>
    <x v="1"/>
    <x v="2"/>
    <s v="Mid"/>
    <s v="Completed"/>
    <n v="450"/>
    <n v="31.5"/>
    <x v="0"/>
    <n v="418.5"/>
    <n v="1"/>
  </r>
  <r>
    <n v="93"/>
    <x v="33"/>
    <x v="4"/>
    <x v="0"/>
    <s v="John Doe"/>
    <s v="USA"/>
    <s v="East"/>
    <x v="3"/>
    <x v="1"/>
    <x v="1"/>
    <n v="1"/>
    <s v="Ok"/>
    <n v="20"/>
    <x v="2"/>
    <x v="1"/>
    <s v="Junior"/>
    <s v="Pending"/>
    <n v="20"/>
    <n v="0"/>
    <x v="0"/>
    <n v="20"/>
    <n v="1"/>
  </r>
  <r>
    <n v="94"/>
    <x v="90"/>
    <x v="5"/>
    <x v="0"/>
    <s v="Susan Lee"/>
    <s v="USA"/>
    <s v="West"/>
    <x v="2"/>
    <x v="1"/>
    <x v="1"/>
    <n v="2"/>
    <s v="Ok"/>
    <n v="50"/>
    <x v="0"/>
    <x v="0"/>
    <s v="Senior"/>
    <s v="Completed"/>
    <n v="100"/>
    <n v="5"/>
    <x v="0"/>
    <n v="95"/>
    <n v="1"/>
  </r>
  <r>
    <n v="95"/>
    <x v="91"/>
    <x v="3"/>
    <x v="0"/>
    <s v="Mary Smith"/>
    <s v="USA"/>
    <s v="North"/>
    <x v="1"/>
    <x v="0"/>
    <x v="0"/>
    <m/>
    <s v="Missing Quantity"/>
    <n v="300"/>
    <x v="3"/>
    <x v="3"/>
    <s v="Senior"/>
    <s v="Completed"/>
    <m/>
    <m/>
    <x v="1"/>
    <m/>
    <n v="1"/>
  </r>
  <r>
    <n v="96"/>
    <x v="92"/>
    <x v="6"/>
    <x v="0"/>
    <s v="Alex Brown"/>
    <s v="USA"/>
    <s v="South"/>
    <x v="5"/>
    <x v="1"/>
    <x v="3"/>
    <n v="4"/>
    <s v="Ok"/>
    <n v="800"/>
    <x v="0"/>
    <x v="0"/>
    <s v="Senior"/>
    <s v="Pending"/>
    <n v="3200"/>
    <n v="160"/>
    <x v="3"/>
    <n v="3040"/>
    <n v="1"/>
  </r>
  <r>
    <n v="97"/>
    <x v="93"/>
    <x v="11"/>
    <x v="0"/>
    <s v="John Doe"/>
    <s v="USA"/>
    <s v="East"/>
    <x v="0"/>
    <x v="0"/>
    <x v="0"/>
    <n v="2"/>
    <s v="Ok"/>
    <n v="150"/>
    <x v="1"/>
    <x v="2"/>
    <s v="Mid"/>
    <s v="Completed"/>
    <n v="300"/>
    <n v="0"/>
    <x v="0"/>
    <n v="300"/>
    <n v="1"/>
  </r>
  <r>
    <n v="98"/>
    <x v="94"/>
    <x v="7"/>
    <x v="0"/>
    <s v="Susan Lee"/>
    <s v="USA"/>
    <s v="West"/>
    <x v="3"/>
    <x v="1"/>
    <x v="1"/>
    <n v="5"/>
    <s v="Ok"/>
    <n v="20"/>
    <x v="2"/>
    <x v="2"/>
    <s v="Junior"/>
    <s v="Cancelled"/>
    <n v="100"/>
    <n v="7"/>
    <x v="0"/>
    <n v="93"/>
    <n v="1"/>
  </r>
  <r>
    <n v="99"/>
    <x v="95"/>
    <x v="1"/>
    <x v="0"/>
    <s v="Mary Smith"/>
    <s v="USA"/>
    <s v="North"/>
    <x v="2"/>
    <x v="1"/>
    <x v="1"/>
    <n v="1"/>
    <s v="Ok"/>
    <n v="50"/>
    <x v="0"/>
    <x v="1"/>
    <s v="Senior"/>
    <s v="Completed"/>
    <n v="50"/>
    <n v="0"/>
    <x v="0"/>
    <n v="50"/>
    <n v="1"/>
  </r>
  <r>
    <n v="100"/>
    <x v="96"/>
    <x v="8"/>
    <x v="0"/>
    <s v="Alex Brown"/>
    <s v="USA"/>
    <s v="South"/>
    <x v="1"/>
    <x v="0"/>
    <x v="0"/>
    <n v="3"/>
    <s v="Ok"/>
    <n v="300"/>
    <x v="3"/>
    <x v="0"/>
    <s v="Senior"/>
    <s v="Pending"/>
    <n v="900"/>
    <n v="45"/>
    <x v="0"/>
    <n v="855"/>
    <n v="1"/>
  </r>
  <r>
    <n v="101"/>
    <x v="97"/>
    <x v="2"/>
    <x v="0"/>
    <s v="John Doe"/>
    <s v="USA"/>
    <s v="East"/>
    <x v="0"/>
    <x v="0"/>
    <x v="0"/>
    <n v="2"/>
    <s v="Ok"/>
    <n v="150"/>
    <x v="0"/>
    <x v="0"/>
    <s v="Senior"/>
    <s v="Completed"/>
    <n v="300"/>
    <n v="15"/>
    <x v="0"/>
    <n v="285"/>
    <n v="1"/>
  </r>
  <r>
    <n v="102"/>
    <x v="98"/>
    <x v="3"/>
    <x v="0"/>
    <s v="John Doe"/>
    <s v="USA"/>
    <s v="East"/>
    <x v="0"/>
    <x v="0"/>
    <x v="0"/>
    <n v="1"/>
    <s v="Ok"/>
    <n v="150"/>
    <x v="0"/>
    <x v="0"/>
    <s v="Senior"/>
    <s v="Completed"/>
    <n v="150"/>
    <n v="0"/>
    <x v="0"/>
    <n v="150"/>
    <n v="1"/>
  </r>
  <r>
    <n v="103"/>
    <x v="99"/>
    <x v="10"/>
    <x v="0"/>
    <s v="Mary Smith"/>
    <s v="USA"/>
    <s v="North"/>
    <x v="1"/>
    <x v="0"/>
    <x v="0"/>
    <n v="3"/>
    <s v="Ok"/>
    <n v="300"/>
    <x v="1"/>
    <x v="2"/>
    <s v="Mid"/>
    <s v="Completed"/>
    <n v="900"/>
    <n v="63"/>
    <x v="0"/>
    <n v="837"/>
    <n v="1"/>
  </r>
  <r>
    <n v="104"/>
    <x v="100"/>
    <x v="3"/>
    <x v="0"/>
    <s v="Alex Brown"/>
    <s v="USA"/>
    <s v="South"/>
    <x v="5"/>
    <x v="1"/>
    <x v="3"/>
    <n v="5"/>
    <s v="Ok"/>
    <n v="800"/>
    <x v="2"/>
    <x v="2"/>
    <s v="Junior"/>
    <s v="Pending"/>
    <n v="4000"/>
    <n v="280"/>
    <x v="3"/>
    <n v="3720"/>
    <n v="1"/>
  </r>
  <r>
    <n v="105"/>
    <x v="101"/>
    <x v="3"/>
    <x v="0"/>
    <s v="Alex Brown"/>
    <s v="USA"/>
    <s v="South"/>
    <x v="3"/>
    <x v="1"/>
    <x v="1"/>
    <n v="2"/>
    <s v="Ok"/>
    <n v="20"/>
    <x v="3"/>
    <x v="3"/>
    <s v="Senior"/>
    <s v="Completed"/>
    <n v="40"/>
    <n v="0"/>
    <x v="0"/>
    <n v="40"/>
    <n v="1"/>
  </r>
  <r>
    <n v="106"/>
    <x v="102"/>
    <x v="3"/>
    <x v="0"/>
    <s v="Susan Lee"/>
    <s v="USA"/>
    <s v="West"/>
    <x v="2"/>
    <x v="1"/>
    <x v="1"/>
    <m/>
    <s v="Missing Quantity"/>
    <n v="50"/>
    <x v="0"/>
    <x v="1"/>
    <s v="Senior"/>
    <s v="Cancelled"/>
    <m/>
    <m/>
    <x v="1"/>
    <m/>
    <n v="1"/>
  </r>
  <r>
    <n v="107"/>
    <x v="103"/>
    <x v="3"/>
    <x v="0"/>
    <s v="Susan Lee"/>
    <s v="USA"/>
    <s v="West"/>
    <x v="4"/>
    <x v="1"/>
    <x v="2"/>
    <n v="4"/>
    <s v="Ok"/>
    <n v="200"/>
    <x v="1"/>
    <x v="0"/>
    <s v="Mid"/>
    <s v="Completed"/>
    <n v="800"/>
    <n v="40"/>
    <x v="0"/>
    <n v="760"/>
    <n v="1"/>
  </r>
  <r>
    <n v="108"/>
    <x v="104"/>
    <x v="3"/>
    <x v="0"/>
    <s v="John Doe"/>
    <s v="USA"/>
    <s v="East"/>
    <x v="1"/>
    <x v="0"/>
    <x v="0"/>
    <n v="1"/>
    <s v="Ok"/>
    <n v="300"/>
    <x v="0"/>
    <x v="0"/>
    <s v="Senior"/>
    <s v="Pending"/>
    <n v="300"/>
    <n v="0"/>
    <x v="0"/>
    <n v="300"/>
    <n v="1"/>
  </r>
  <r>
    <n v="109"/>
    <x v="105"/>
    <x v="3"/>
    <x v="0"/>
    <s v="Mary Smith"/>
    <s v="USA"/>
    <s v="North"/>
    <x v="5"/>
    <x v="1"/>
    <x v="3"/>
    <n v="2"/>
    <s v="Ok"/>
    <n v="800"/>
    <x v="2"/>
    <x v="2"/>
    <s v="Junior"/>
    <s v="Completed"/>
    <n v="1600"/>
    <n v="0"/>
    <x v="2"/>
    <n v="1600"/>
    <n v="1"/>
  </r>
  <r>
    <n v="110"/>
    <x v="106"/>
    <x v="3"/>
    <x v="0"/>
    <s v="Alex Brown"/>
    <s v="USA"/>
    <s v="South"/>
    <x v="0"/>
    <x v="0"/>
    <x v="0"/>
    <n v="3"/>
    <s v="Ok"/>
    <n v="150"/>
    <x v="3"/>
    <x v="3"/>
    <s v="Senior"/>
    <s v="Completed"/>
    <n v="450"/>
    <n v="27"/>
    <x v="0"/>
    <n v="423"/>
    <n v="1"/>
  </r>
  <r>
    <n v="111"/>
    <x v="107"/>
    <x v="3"/>
    <x v="0"/>
    <s v="Alex Brown"/>
    <s v="USA"/>
    <s v="South"/>
    <x v="3"/>
    <x v="1"/>
    <x v="1"/>
    <n v="1"/>
    <s v="Ok"/>
    <n v="20"/>
    <x v="0"/>
    <x v="0"/>
    <s v="Senior"/>
    <s v="Completed"/>
    <n v="20"/>
    <n v="0"/>
    <x v="0"/>
    <n v="20"/>
    <n v="1"/>
  </r>
  <r>
    <n v="112"/>
    <x v="108"/>
    <x v="3"/>
    <x v="0"/>
    <s v="John Doe"/>
    <s v="USA"/>
    <s v="East"/>
    <x v="2"/>
    <x v="1"/>
    <x v="1"/>
    <n v="2"/>
    <s v="Ok"/>
    <n v="50"/>
    <x v="1"/>
    <x v="1"/>
    <s v="Mid"/>
    <s v="Pending"/>
    <n v="100"/>
    <n v="4"/>
    <x v="0"/>
    <n v="96"/>
    <n v="1"/>
  </r>
  <r>
    <n v="113"/>
    <x v="109"/>
    <x v="3"/>
    <x v="0"/>
    <s v="Susan Lee"/>
    <s v="USA"/>
    <s v="West"/>
    <x v="1"/>
    <x v="0"/>
    <x v="0"/>
    <m/>
    <s v="Missing Quantity"/>
    <n v="300"/>
    <x v="2"/>
    <x v="2"/>
    <s v="Junior"/>
    <s v="Completed"/>
    <m/>
    <m/>
    <x v="1"/>
    <m/>
    <n v="1"/>
  </r>
  <r>
    <n v="114"/>
    <x v="110"/>
    <x v="3"/>
    <x v="0"/>
    <s v="Mary Smith"/>
    <s v="USA"/>
    <s v="North"/>
    <x v="4"/>
    <x v="1"/>
    <x v="2"/>
    <n v="3"/>
    <s v="Ok"/>
    <n v="200"/>
    <x v="0"/>
    <x v="0"/>
    <s v="Senior"/>
    <s v="Cancelled"/>
    <n v="600"/>
    <n v="30"/>
    <x v="0"/>
    <n v="570"/>
    <n v="1"/>
  </r>
  <r>
    <n v="115"/>
    <x v="111"/>
    <x v="3"/>
    <x v="0"/>
    <s v="Alex Brown"/>
    <s v="USA"/>
    <s v="South"/>
    <x v="5"/>
    <x v="1"/>
    <x v="3"/>
    <n v="2"/>
    <s v="Ok"/>
    <n v="800"/>
    <x v="3"/>
    <x v="3"/>
    <s v="Senior"/>
    <s v="Completed"/>
    <n v="1600"/>
    <n v="0"/>
    <x v="2"/>
    <n v="1600"/>
    <n v="1"/>
  </r>
  <r>
    <n v="116"/>
    <x v="112"/>
    <x v="3"/>
    <x v="0"/>
    <s v="John Doe"/>
    <s v="USA"/>
    <s v="East"/>
    <x v="0"/>
    <x v="0"/>
    <x v="0"/>
    <n v="1"/>
    <s v="Ok"/>
    <n v="150"/>
    <x v="0"/>
    <x v="0"/>
    <s v="Senior"/>
    <s v="Pending"/>
    <n v="150"/>
    <n v="0"/>
    <x v="0"/>
    <n v="150"/>
    <n v="1"/>
  </r>
  <r>
    <n v="117"/>
    <x v="113"/>
    <x v="3"/>
    <x v="0"/>
    <s v="Susan Lee"/>
    <s v="USA"/>
    <s v="West"/>
    <x v="3"/>
    <x v="1"/>
    <x v="1"/>
    <n v="2"/>
    <s v="Ok"/>
    <n v="20"/>
    <x v="1"/>
    <x v="2"/>
    <s v="Mid"/>
    <s v="Completed"/>
    <n v="40"/>
    <n v="0"/>
    <x v="0"/>
    <n v="40"/>
    <n v="1"/>
  </r>
  <r>
    <n v="118"/>
    <x v="114"/>
    <x v="3"/>
    <x v="0"/>
    <s v="Mary Smith"/>
    <s v="USA"/>
    <s v="North"/>
    <x v="2"/>
    <x v="1"/>
    <x v="1"/>
    <n v="5"/>
    <s v="Ok"/>
    <n v="50"/>
    <x v="2"/>
    <x v="1"/>
    <s v="Junior"/>
    <s v="Completed"/>
    <n v="250"/>
    <n v="10"/>
    <x v="0"/>
    <n v="240"/>
    <n v="1"/>
  </r>
  <r>
    <n v="119"/>
    <x v="115"/>
    <x v="3"/>
    <x v="0"/>
    <s v="Alex Brown"/>
    <s v="USA"/>
    <s v="South"/>
    <x v="1"/>
    <x v="0"/>
    <x v="0"/>
    <n v="4"/>
    <s v="Ok"/>
    <n v="300"/>
    <x v="0"/>
    <x v="0"/>
    <s v="Senior"/>
    <s v="Completed"/>
    <n v="1200"/>
    <n v="60"/>
    <x v="2"/>
    <n v="1140"/>
    <n v="1"/>
  </r>
  <r>
    <n v="120"/>
    <x v="116"/>
    <x v="3"/>
    <x v="0"/>
    <s v="Alex Brown"/>
    <s v="USA"/>
    <s v="South"/>
    <x v="5"/>
    <x v="1"/>
    <x v="3"/>
    <m/>
    <s v="Missing Quantity"/>
    <n v="800"/>
    <x v="3"/>
    <x v="3"/>
    <s v="Senior"/>
    <s v="Pending"/>
    <m/>
    <m/>
    <x v="1"/>
    <m/>
    <n v="1"/>
  </r>
  <r>
    <n v="121"/>
    <x v="117"/>
    <x v="3"/>
    <x v="0"/>
    <s v="John Doe"/>
    <s v="USA"/>
    <s v="East"/>
    <x v="0"/>
    <x v="0"/>
    <x v="0"/>
    <n v="3"/>
    <s v="Ok"/>
    <n v="150"/>
    <x v="0"/>
    <x v="0"/>
    <s v="Senior"/>
    <s v="Completed"/>
    <n v="450"/>
    <n v="22.5"/>
    <x v="0"/>
    <n v="427.5"/>
    <n v="1"/>
  </r>
  <r>
    <n v="122"/>
    <x v="19"/>
    <x v="0"/>
    <x v="0"/>
    <s v="Mary Smith"/>
    <s v="USA"/>
    <s v="North"/>
    <x v="3"/>
    <x v="1"/>
    <x v="1"/>
    <n v="1"/>
    <s v="Ok"/>
    <n v="20"/>
    <x v="1"/>
    <x v="2"/>
    <s v="Mid"/>
    <s v="Cancelled"/>
    <n v="20"/>
    <n v="0"/>
    <x v="0"/>
    <n v="20"/>
    <n v="1"/>
  </r>
  <r>
    <n v="123"/>
    <x v="118"/>
    <x v="4"/>
    <x v="0"/>
    <s v="Susan Lee"/>
    <s v="USA"/>
    <s v="West"/>
    <x v="4"/>
    <x v="1"/>
    <x v="2"/>
    <n v="2"/>
    <s v="Ok"/>
    <n v="200"/>
    <x v="2"/>
    <x v="2"/>
    <s v="Junior"/>
    <s v="Completed"/>
    <n v="400"/>
    <n v="0"/>
    <x v="0"/>
    <n v="400"/>
    <n v="1"/>
  </r>
  <r>
    <n v="124"/>
    <x v="119"/>
    <x v="5"/>
    <x v="0"/>
    <s v="Alex Brown"/>
    <s v="USA"/>
    <s v="South"/>
    <x v="2"/>
    <x v="1"/>
    <x v="1"/>
    <n v="2"/>
    <s v="Ok"/>
    <n v="50"/>
    <x v="0"/>
    <x v="1"/>
    <s v="Senior"/>
    <s v="Pending"/>
    <n v="100"/>
    <n v="4"/>
    <x v="0"/>
    <n v="96"/>
    <n v="1"/>
  </r>
  <r>
    <n v="125"/>
    <x v="120"/>
    <x v="3"/>
    <x v="0"/>
    <s v="John Doe"/>
    <s v="USA"/>
    <s v="East"/>
    <x v="1"/>
    <x v="0"/>
    <x v="0"/>
    <n v="5"/>
    <s v="Ok"/>
    <n v="300"/>
    <x v="3"/>
    <x v="0"/>
    <s v="Senior"/>
    <s v="Completed"/>
    <n v="1500"/>
    <n v="75"/>
    <x v="2"/>
    <n v="1425"/>
    <n v="1"/>
  </r>
  <r>
    <n v="126"/>
    <x v="121"/>
    <x v="6"/>
    <x v="0"/>
    <s v="Mary Smith"/>
    <s v="USA"/>
    <s v="North"/>
    <x v="5"/>
    <x v="1"/>
    <x v="3"/>
    <n v="3"/>
    <s v="Ok"/>
    <n v="800"/>
    <x v="0"/>
    <x v="0"/>
    <s v="Senior"/>
    <s v="Completed"/>
    <n v="2400"/>
    <n v="120"/>
    <x v="3"/>
    <n v="2280"/>
    <n v="1"/>
  </r>
  <r>
    <n v="127"/>
    <x v="122"/>
    <x v="11"/>
    <x v="0"/>
    <s v="Alex Brown"/>
    <s v="USA"/>
    <s v="South"/>
    <x v="0"/>
    <x v="0"/>
    <x v="0"/>
    <n v="1"/>
    <s v="Ok"/>
    <n v="150"/>
    <x v="1"/>
    <x v="3"/>
    <s v="Mid"/>
    <s v="Completed"/>
    <n v="150"/>
    <n v="0"/>
    <x v="0"/>
    <n v="150"/>
    <n v="1"/>
  </r>
  <r>
    <n v="128"/>
    <x v="123"/>
    <x v="7"/>
    <x v="0"/>
    <s v="Susan Lee"/>
    <s v="USA"/>
    <s v="West"/>
    <x v="3"/>
    <x v="1"/>
    <x v="1"/>
    <m/>
    <s v="Missing Quantity"/>
    <n v="20"/>
    <x v="2"/>
    <x v="2"/>
    <s v="Junior"/>
    <s v="Pending"/>
    <m/>
    <m/>
    <x v="1"/>
    <m/>
    <n v="1"/>
  </r>
  <r>
    <n v="129"/>
    <x v="124"/>
    <x v="1"/>
    <x v="0"/>
    <s v="John Doe"/>
    <s v="USA"/>
    <s v="East"/>
    <x v="2"/>
    <x v="1"/>
    <x v="1"/>
    <n v="2"/>
    <s v="Ok"/>
    <n v="50"/>
    <x v="0"/>
    <x v="0"/>
    <s v="Senior"/>
    <s v="Completed"/>
    <n v="100"/>
    <n v="5"/>
    <x v="0"/>
    <n v="95"/>
    <n v="1"/>
  </r>
  <r>
    <n v="130"/>
    <x v="125"/>
    <x v="8"/>
    <x v="0"/>
    <s v="Mary Smith"/>
    <s v="USA"/>
    <s v="North"/>
    <x v="1"/>
    <x v="0"/>
    <x v="0"/>
    <n v="4"/>
    <s v="Ok"/>
    <n v="300"/>
    <x v="3"/>
    <x v="2"/>
    <s v="Senior"/>
    <s v="Cancelled"/>
    <n v="1200"/>
    <n v="84"/>
    <x v="2"/>
    <n v="1116"/>
    <n v="1"/>
  </r>
  <r>
    <n v="131"/>
    <x v="126"/>
    <x v="2"/>
    <x v="0"/>
    <s v="Alex Brown"/>
    <s v="USA"/>
    <s v="South"/>
    <x v="5"/>
    <x v="1"/>
    <x v="3"/>
    <n v="1"/>
    <s v="Ok"/>
    <n v="800"/>
    <x v="0"/>
    <x v="1"/>
    <s v="Senior"/>
    <s v="Completed"/>
    <n v="800"/>
    <n v="0"/>
    <x v="0"/>
    <n v="800"/>
    <n v="1"/>
  </r>
  <r>
    <n v="132"/>
    <x v="127"/>
    <x v="9"/>
    <x v="0"/>
    <s v="Alex Brown"/>
    <s v="USA"/>
    <s v="South"/>
    <x v="4"/>
    <x v="1"/>
    <x v="2"/>
    <n v="3"/>
    <s v="Ok"/>
    <n v="200"/>
    <x v="1"/>
    <x v="0"/>
    <s v="Mid"/>
    <s v="Pending"/>
    <n v="600"/>
    <n v="30"/>
    <x v="0"/>
    <n v="570"/>
    <n v="1"/>
  </r>
  <r>
    <n v="133"/>
    <x v="128"/>
    <x v="10"/>
    <x v="0"/>
    <s v="John Doe"/>
    <s v="USA"/>
    <s v="East"/>
    <x v="0"/>
    <x v="0"/>
    <x v="0"/>
    <n v="2"/>
    <s v="Ok"/>
    <n v="150"/>
    <x v="2"/>
    <x v="3"/>
    <s v="Junior"/>
    <s v="Completed"/>
    <n v="300"/>
    <n v="0"/>
    <x v="0"/>
    <n v="300"/>
    <n v="1"/>
  </r>
  <r>
    <n v="134"/>
    <x v="129"/>
    <x v="6"/>
    <x v="0"/>
    <s v="Susan Lee"/>
    <s v="USA"/>
    <s v="West"/>
    <x v="3"/>
    <x v="1"/>
    <x v="1"/>
    <n v="5"/>
    <s v="Ok"/>
    <n v="20"/>
    <x v="0"/>
    <x v="2"/>
    <s v="Senior"/>
    <s v="Completed"/>
    <n v="100"/>
    <n v="7"/>
    <x v="0"/>
    <n v="93"/>
    <n v="1"/>
  </r>
  <r>
    <n v="135"/>
    <x v="130"/>
    <x v="6"/>
    <x v="0"/>
    <s v="Mary Smith"/>
    <s v="USA"/>
    <s v="North"/>
    <x v="2"/>
    <x v="1"/>
    <x v="1"/>
    <n v="1"/>
    <s v="Ok"/>
    <n v="50"/>
    <x v="3"/>
    <x v="0"/>
    <s v="Senior"/>
    <s v="Completed"/>
    <n v="50"/>
    <n v="0"/>
    <x v="0"/>
    <n v="50"/>
    <n v="1"/>
  </r>
  <r>
    <n v="136"/>
    <x v="131"/>
    <x v="6"/>
    <x v="0"/>
    <s v="Alex Brown"/>
    <s v="USA"/>
    <s v="South"/>
    <x v="1"/>
    <x v="0"/>
    <x v="0"/>
    <n v="2"/>
    <s v="Ok"/>
    <n v="300"/>
    <x v="0"/>
    <x v="2"/>
    <s v="Senior"/>
    <s v="Pending"/>
    <n v="600"/>
    <n v="0"/>
    <x v="0"/>
    <n v="600"/>
    <n v="1"/>
  </r>
  <r>
    <n v="137"/>
    <x v="132"/>
    <x v="6"/>
    <x v="0"/>
    <s v="John Doe"/>
    <s v="USA"/>
    <s v="East"/>
    <x v="5"/>
    <x v="1"/>
    <x v="3"/>
    <n v="3"/>
    <s v="Ok"/>
    <n v="800"/>
    <x v="1"/>
    <x v="1"/>
    <s v="Mid"/>
    <s v="Completed"/>
    <n v="2400"/>
    <n v="96"/>
    <x v="3"/>
    <n v="2304"/>
    <n v="1"/>
  </r>
  <r>
    <n v="138"/>
    <x v="133"/>
    <x v="6"/>
    <x v="0"/>
    <s v="Susan Lee"/>
    <s v="USA"/>
    <s v="West"/>
    <x v="0"/>
    <x v="0"/>
    <x v="0"/>
    <m/>
    <s v="Missing Quantity"/>
    <n v="150"/>
    <x v="2"/>
    <x v="0"/>
    <s v="Junior"/>
    <s v="Cancelled"/>
    <m/>
    <m/>
    <x v="1"/>
    <m/>
    <n v="1"/>
  </r>
  <r>
    <n v="139"/>
    <x v="134"/>
    <x v="6"/>
    <x v="0"/>
    <s v="Mary Smith"/>
    <s v="USA"/>
    <s v="North"/>
    <x v="3"/>
    <x v="1"/>
    <x v="1"/>
    <n v="2"/>
    <s v="Ok"/>
    <n v="20"/>
    <x v="0"/>
    <x v="0"/>
    <s v="Senior"/>
    <s v="Completed"/>
    <n v="40"/>
    <n v="2"/>
    <x v="0"/>
    <n v="38"/>
    <n v="1"/>
  </r>
  <r>
    <n v="140"/>
    <x v="135"/>
    <x v="6"/>
    <x v="0"/>
    <s v="Alex Brown"/>
    <s v="USA"/>
    <s v="South"/>
    <x v="2"/>
    <x v="1"/>
    <x v="1"/>
    <n v="4"/>
    <s v="Ok"/>
    <n v="50"/>
    <x v="3"/>
    <x v="3"/>
    <s v="Senior"/>
    <s v="Pending"/>
    <n v="200"/>
    <n v="12"/>
    <x v="0"/>
    <n v="188"/>
    <n v="1"/>
  </r>
  <r>
    <n v="141"/>
    <x v="136"/>
    <x v="6"/>
    <x v="0"/>
    <s v="Alex Brown"/>
    <s v="USA"/>
    <s v="South"/>
    <x v="1"/>
    <x v="0"/>
    <x v="0"/>
    <n v="1"/>
    <s v="Ok"/>
    <n v="300"/>
    <x v="0"/>
    <x v="0"/>
    <s v="Senior"/>
    <s v="Completed"/>
    <n v="300"/>
    <n v="0"/>
    <x v="0"/>
    <n v="300"/>
    <n v="1"/>
  </r>
  <r>
    <n v="142"/>
    <x v="137"/>
    <x v="6"/>
    <x v="0"/>
    <s v="John Doe"/>
    <s v="USA"/>
    <s v="East"/>
    <x v="5"/>
    <x v="1"/>
    <x v="3"/>
    <n v="5"/>
    <s v="Ok"/>
    <n v="800"/>
    <x v="1"/>
    <x v="2"/>
    <s v="Mid"/>
    <s v="Completed"/>
    <n v="4000"/>
    <n v="280"/>
    <x v="3"/>
    <n v="3720"/>
    <n v="1"/>
  </r>
  <r>
    <n v="143"/>
    <x v="138"/>
    <x v="6"/>
    <x v="0"/>
    <s v="Susan Lee"/>
    <s v="USA"/>
    <s v="West"/>
    <x v="4"/>
    <x v="1"/>
    <x v="2"/>
    <n v="2"/>
    <s v="Ok"/>
    <n v="200"/>
    <x v="2"/>
    <x v="2"/>
    <s v="Junior"/>
    <s v="Pending"/>
    <n v="400"/>
    <n v="0"/>
    <x v="0"/>
    <n v="400"/>
    <n v="1"/>
  </r>
  <r>
    <n v="144"/>
    <x v="139"/>
    <x v="6"/>
    <x v="0"/>
    <s v="Mary Smith"/>
    <s v="USA"/>
    <s v="North"/>
    <x v="0"/>
    <x v="0"/>
    <x v="0"/>
    <n v="3"/>
    <s v="Ok"/>
    <n v="150"/>
    <x v="0"/>
    <x v="0"/>
    <s v="Senior"/>
    <s v="Completed"/>
    <n v="450"/>
    <n v="22.5"/>
    <x v="0"/>
    <n v="427.5"/>
    <n v="1"/>
  </r>
  <r>
    <n v="145"/>
    <x v="140"/>
    <x v="6"/>
    <x v="0"/>
    <s v="Alex Brown"/>
    <s v="USA"/>
    <s v="South"/>
    <x v="3"/>
    <x v="1"/>
    <x v="1"/>
    <n v="1"/>
    <s v="Ok"/>
    <n v="20"/>
    <x v="3"/>
    <x v="3"/>
    <s v="Senior"/>
    <s v="Completed"/>
    <n v="20"/>
    <n v="0"/>
    <x v="0"/>
    <n v="20"/>
    <n v="1"/>
  </r>
  <r>
    <n v="146"/>
    <x v="141"/>
    <x v="6"/>
    <x v="0"/>
    <s v="John Doe"/>
    <s v="USA"/>
    <s v="East"/>
    <x v="2"/>
    <x v="1"/>
    <x v="1"/>
    <n v="2"/>
    <s v="Ok"/>
    <n v="50"/>
    <x v="0"/>
    <x v="1"/>
    <s v="Senior"/>
    <s v="Pending"/>
    <n v="100"/>
    <n v="4"/>
    <x v="0"/>
    <n v="96"/>
    <n v="1"/>
  </r>
  <r>
    <n v="147"/>
    <x v="142"/>
    <x v="6"/>
    <x v="0"/>
    <s v="Susan Lee"/>
    <s v="USA"/>
    <s v="West"/>
    <x v="1"/>
    <x v="0"/>
    <x v="0"/>
    <n v="4"/>
    <s v="Ok"/>
    <n v="300"/>
    <x v="1"/>
    <x v="0"/>
    <s v="Mid"/>
    <s v="Completed"/>
    <n v="1200"/>
    <n v="60"/>
    <x v="2"/>
    <n v="1140"/>
    <n v="1"/>
  </r>
  <r>
    <n v="148"/>
    <x v="143"/>
    <x v="6"/>
    <x v="0"/>
    <s v="Mary Smith"/>
    <s v="USA"/>
    <s v="North"/>
    <x v="5"/>
    <x v="1"/>
    <x v="3"/>
    <m/>
    <s v="Missing Quantity"/>
    <n v="800"/>
    <x v="2"/>
    <x v="2"/>
    <s v="Junior"/>
    <s v="Cancelled"/>
    <m/>
    <m/>
    <x v="1"/>
    <m/>
    <n v="1"/>
  </r>
  <r>
    <n v="149"/>
    <x v="144"/>
    <x v="6"/>
    <x v="0"/>
    <s v="Alex Brown"/>
    <s v="USA"/>
    <s v="South"/>
    <x v="0"/>
    <x v="0"/>
    <x v="0"/>
    <n v="2"/>
    <s v="Ok"/>
    <n v="150"/>
    <x v="0"/>
    <x v="0"/>
    <s v="Senior"/>
    <s v="Completed"/>
    <n v="300"/>
    <n v="15"/>
    <x v="0"/>
    <n v="285"/>
    <n v="1"/>
  </r>
  <r>
    <n v="150"/>
    <x v="145"/>
    <x v="6"/>
    <x v="0"/>
    <s v="John Doe"/>
    <s v="USA"/>
    <s v="East"/>
    <x v="3"/>
    <x v="1"/>
    <x v="1"/>
    <n v="5"/>
    <s v="Ok"/>
    <n v="20"/>
    <x v="3"/>
    <x v="2"/>
    <s v="Senior"/>
    <s v="Pending"/>
    <n v="100"/>
    <n v="7"/>
    <x v="0"/>
    <n v="93"/>
    <n v="1"/>
  </r>
  <r>
    <n v="151"/>
    <x v="146"/>
    <x v="6"/>
    <x v="0"/>
    <s v="Mary Smith"/>
    <s v="USA"/>
    <s v="North"/>
    <x v="2"/>
    <x v="1"/>
    <x v="1"/>
    <n v="1"/>
    <s v="Ok"/>
    <n v="50"/>
    <x v="0"/>
    <x v="0"/>
    <s v="Senior"/>
    <s v="Completed"/>
    <n v="50"/>
    <n v="0"/>
    <x v="0"/>
    <n v="50"/>
    <n v="1"/>
  </r>
  <r>
    <n v="152"/>
    <x v="147"/>
    <x v="6"/>
    <x v="0"/>
    <s v="Alex Brown"/>
    <s v="USA"/>
    <s v="South"/>
    <x v="1"/>
    <x v="0"/>
    <x v="0"/>
    <n v="3"/>
    <s v="Ok"/>
    <n v="300"/>
    <x v="1"/>
    <x v="2"/>
    <s v="Mid"/>
    <s v="Pending"/>
    <n v="900"/>
    <n v="63"/>
    <x v="0"/>
    <n v="837"/>
    <n v="1"/>
  </r>
  <r>
    <n v="153"/>
    <x v="8"/>
    <x v="0"/>
    <x v="0"/>
    <s v="John Doe"/>
    <s v="USA"/>
    <s v="East"/>
    <x v="5"/>
    <x v="1"/>
    <x v="3"/>
    <n v="2"/>
    <s v="Ok"/>
    <n v="800"/>
    <x v="2"/>
    <x v="1"/>
    <s v="Junior"/>
    <s v="Completed"/>
    <n v="1600"/>
    <n v="64"/>
    <x v="2"/>
    <n v="1536"/>
    <n v="1"/>
  </r>
  <r>
    <n v="154"/>
    <x v="35"/>
    <x v="4"/>
    <x v="0"/>
    <s v="Susan Lee"/>
    <s v="USA"/>
    <s v="West"/>
    <x v="0"/>
    <x v="0"/>
    <x v="0"/>
    <n v="1"/>
    <s v="Ok"/>
    <n v="150"/>
    <x v="0"/>
    <x v="0"/>
    <s v="Senior"/>
    <s v="Completed"/>
    <n v="150"/>
    <n v="0"/>
    <x v="0"/>
    <n v="150"/>
    <n v="1"/>
  </r>
  <r>
    <n v="155"/>
    <x v="148"/>
    <x v="5"/>
    <x v="0"/>
    <s v="Mary Smith"/>
    <s v="USA"/>
    <s v="North"/>
    <x v="3"/>
    <x v="1"/>
    <x v="1"/>
    <m/>
    <s v="Missing Quantity"/>
    <n v="20"/>
    <x v="3"/>
    <x v="3"/>
    <s v="Senior"/>
    <s v="Cancelled"/>
    <m/>
    <m/>
    <x v="1"/>
    <m/>
    <n v="1"/>
  </r>
  <r>
    <n v="156"/>
    <x v="149"/>
    <x v="3"/>
    <x v="0"/>
    <s v="Alex Brown"/>
    <s v="USA"/>
    <s v="South"/>
    <x v="2"/>
    <x v="1"/>
    <x v="1"/>
    <n v="5"/>
    <s v="Ok"/>
    <n v="50"/>
    <x v="0"/>
    <x v="0"/>
    <s v="Senior"/>
    <s v="Pending"/>
    <n v="250"/>
    <n v="12.5"/>
    <x v="0"/>
    <n v="237.5"/>
    <n v="1"/>
  </r>
  <r>
    <n v="157"/>
    <x v="150"/>
    <x v="6"/>
    <x v="0"/>
    <s v="John Doe"/>
    <s v="USA"/>
    <s v="East"/>
    <x v="1"/>
    <x v="0"/>
    <x v="0"/>
    <n v="2"/>
    <s v="Ok"/>
    <n v="300"/>
    <x v="1"/>
    <x v="2"/>
    <s v="Mid"/>
    <s v="Completed"/>
    <n v="600"/>
    <n v="0"/>
    <x v="0"/>
    <n v="600"/>
    <n v="1"/>
  </r>
  <r>
    <n v="158"/>
    <x v="151"/>
    <x v="11"/>
    <x v="0"/>
    <s v="Susan Lee"/>
    <s v="USA"/>
    <s v="West"/>
    <x v="5"/>
    <x v="1"/>
    <x v="3"/>
    <n v="3"/>
    <s v="Ok"/>
    <n v="800"/>
    <x v="2"/>
    <x v="2"/>
    <s v="Junior"/>
    <s v="Completed"/>
    <n v="2400"/>
    <n v="168"/>
    <x v="3"/>
    <n v="2232"/>
    <n v="1"/>
  </r>
  <r>
    <n v="159"/>
    <x v="152"/>
    <x v="7"/>
    <x v="0"/>
    <s v="Mary Smith"/>
    <s v="USA"/>
    <s v="North"/>
    <x v="4"/>
    <x v="1"/>
    <x v="2"/>
    <n v="2"/>
    <s v="Ok"/>
    <n v="200"/>
    <x v="0"/>
    <x v="1"/>
    <s v="Senior"/>
    <s v="Pending"/>
    <n v="400"/>
    <n v="16"/>
    <x v="0"/>
    <n v="384"/>
    <n v="1"/>
  </r>
  <r>
    <n v="160"/>
    <x v="153"/>
    <x v="1"/>
    <x v="0"/>
    <s v="Alex Brown"/>
    <s v="USA"/>
    <s v="South"/>
    <x v="0"/>
    <x v="0"/>
    <x v="0"/>
    <n v="4"/>
    <s v="Ok"/>
    <n v="150"/>
    <x v="3"/>
    <x v="0"/>
    <s v="Senior"/>
    <s v="Completed"/>
    <n v="600"/>
    <n v="30"/>
    <x v="0"/>
    <n v="570"/>
    <n v="1"/>
  </r>
  <r>
    <n v="161"/>
    <x v="154"/>
    <x v="8"/>
    <x v="0"/>
    <s v="John Doe"/>
    <s v="USA"/>
    <s v="East"/>
    <x v="3"/>
    <x v="1"/>
    <x v="1"/>
    <n v="1"/>
    <s v="Ok"/>
    <n v="20"/>
    <x v="0"/>
    <x v="0"/>
    <s v="Senior"/>
    <s v="Completed"/>
    <n v="20"/>
    <n v="0"/>
    <x v="0"/>
    <n v="20"/>
    <n v="1"/>
  </r>
  <r>
    <n v="162"/>
    <x v="155"/>
    <x v="2"/>
    <x v="0"/>
    <s v="Susan Lee"/>
    <s v="USA"/>
    <s v="West"/>
    <x v="2"/>
    <x v="1"/>
    <x v="1"/>
    <n v="2"/>
    <s v="Ok"/>
    <n v="50"/>
    <x v="1"/>
    <x v="2"/>
    <s v="Mid"/>
    <s v="Completed"/>
    <n v="100"/>
    <n v="0"/>
    <x v="0"/>
    <n v="100"/>
    <n v="1"/>
  </r>
  <r>
    <n v="163"/>
    <x v="156"/>
    <x v="9"/>
    <x v="0"/>
    <s v="Mary Smith"/>
    <s v="USA"/>
    <s v="North"/>
    <x v="1"/>
    <x v="0"/>
    <x v="0"/>
    <n v="5"/>
    <s v="Ok"/>
    <n v="300"/>
    <x v="2"/>
    <x v="2"/>
    <s v="Junior"/>
    <s v="Pending"/>
    <n v="1500"/>
    <n v="105"/>
    <x v="2"/>
    <n v="1395"/>
    <n v="1"/>
  </r>
  <r>
    <n v="164"/>
    <x v="157"/>
    <x v="10"/>
    <x v="0"/>
    <s v="Alex Brown"/>
    <s v="USA"/>
    <s v="South"/>
    <x v="5"/>
    <x v="1"/>
    <x v="3"/>
    <n v="2"/>
    <s v="Ok"/>
    <n v="800"/>
    <x v="0"/>
    <x v="1"/>
    <s v="Senior"/>
    <s v="Completed"/>
    <n v="1600"/>
    <n v="64"/>
    <x v="2"/>
    <n v="1536"/>
    <n v="1"/>
  </r>
  <r>
    <n v="165"/>
    <x v="158"/>
    <x v="11"/>
    <x v="0"/>
    <s v="John Doe"/>
    <s v="USA"/>
    <s v="East"/>
    <x v="0"/>
    <x v="0"/>
    <x v="0"/>
    <n v="3"/>
    <s v="Ok"/>
    <n v="150"/>
    <x v="3"/>
    <x v="3"/>
    <s v="Senior"/>
    <s v="Completed"/>
    <n v="450"/>
    <n v="27"/>
    <x v="0"/>
    <n v="423"/>
    <n v="1"/>
  </r>
  <r>
    <n v="166"/>
    <x v="159"/>
    <x v="11"/>
    <x v="0"/>
    <s v="Susan Lee"/>
    <s v="USA"/>
    <s v="West"/>
    <x v="3"/>
    <x v="1"/>
    <x v="1"/>
    <m/>
    <s v="Missing Quantity"/>
    <n v="20"/>
    <x v="0"/>
    <x v="0"/>
    <s v="Senior"/>
    <s v="Pending"/>
    <m/>
    <m/>
    <x v="1"/>
    <m/>
    <n v="1"/>
  </r>
  <r>
    <n v="167"/>
    <x v="160"/>
    <x v="11"/>
    <x v="0"/>
    <s v="Mary Smith"/>
    <s v="USA"/>
    <s v="North"/>
    <x v="2"/>
    <x v="1"/>
    <x v="1"/>
    <n v="4"/>
    <s v="Ok"/>
    <n v="50"/>
    <x v="1"/>
    <x v="2"/>
    <s v="Mid"/>
    <s v="Completed"/>
    <n v="200"/>
    <n v="14"/>
    <x v="0"/>
    <n v="186"/>
    <n v="1"/>
  </r>
  <r>
    <n v="168"/>
    <x v="161"/>
    <x v="11"/>
    <x v="0"/>
    <s v="Alex Brown"/>
    <s v="USA"/>
    <s v="South"/>
    <x v="1"/>
    <x v="0"/>
    <x v="0"/>
    <n v="1"/>
    <s v="Ok"/>
    <n v="300"/>
    <x v="2"/>
    <x v="0"/>
    <s v="Junior"/>
    <s v="Cancelled"/>
    <n v="300"/>
    <n v="0"/>
    <x v="0"/>
    <n v="300"/>
    <n v="1"/>
  </r>
  <r>
    <n v="169"/>
    <x v="162"/>
    <x v="11"/>
    <x v="0"/>
    <s v="John Doe"/>
    <s v="USA"/>
    <s v="East"/>
    <x v="5"/>
    <x v="1"/>
    <x v="3"/>
    <n v="5"/>
    <s v="Ok"/>
    <n v="800"/>
    <x v="0"/>
    <x v="0"/>
    <s v="Senior"/>
    <s v="Completed"/>
    <n v="4000"/>
    <n v="200"/>
    <x v="3"/>
    <n v="3800"/>
    <n v="1"/>
  </r>
  <r>
    <n v="170"/>
    <x v="163"/>
    <x v="11"/>
    <x v="0"/>
    <s v="Susan Lee"/>
    <s v="USA"/>
    <s v="West"/>
    <x v="4"/>
    <x v="1"/>
    <x v="2"/>
    <n v="2"/>
    <s v="Ok"/>
    <n v="200"/>
    <x v="3"/>
    <x v="3"/>
    <s v="Senior"/>
    <s v="Pending"/>
    <n v="400"/>
    <n v="0"/>
    <x v="0"/>
    <n v="400"/>
    <n v="1"/>
  </r>
  <r>
    <n v="171"/>
    <x v="164"/>
    <x v="11"/>
    <x v="0"/>
    <s v="Mary Smith"/>
    <s v="USA"/>
    <s v="North"/>
    <x v="0"/>
    <x v="0"/>
    <x v="0"/>
    <n v="3"/>
    <s v="Ok"/>
    <n v="150"/>
    <x v="0"/>
    <x v="0"/>
    <s v="Senior"/>
    <s v="Completed"/>
    <n v="450"/>
    <n v="22.5"/>
    <x v="0"/>
    <n v="427.5"/>
    <n v="1"/>
  </r>
  <r>
    <n v="172"/>
    <x v="165"/>
    <x v="11"/>
    <x v="0"/>
    <s v="Alex Brown"/>
    <s v="USA"/>
    <s v="South"/>
    <x v="3"/>
    <x v="1"/>
    <x v="1"/>
    <n v="1"/>
    <s v="Ok"/>
    <n v="20"/>
    <x v="1"/>
    <x v="2"/>
    <s v="Mid"/>
    <s v="Completed"/>
    <n v="20"/>
    <n v="0"/>
    <x v="0"/>
    <n v="20"/>
    <n v="1"/>
  </r>
  <r>
    <n v="173"/>
    <x v="166"/>
    <x v="11"/>
    <x v="0"/>
    <s v="John Doe"/>
    <s v="USA"/>
    <s v="East"/>
    <x v="2"/>
    <x v="1"/>
    <x v="1"/>
    <n v="2"/>
    <s v="Ok"/>
    <n v="50"/>
    <x v="2"/>
    <x v="1"/>
    <s v="Junior"/>
    <s v="Pending"/>
    <n v="100"/>
    <n v="4"/>
    <x v="0"/>
    <n v="96"/>
    <n v="1"/>
  </r>
  <r>
    <n v="174"/>
    <x v="167"/>
    <x v="11"/>
    <x v="0"/>
    <s v="Susan Lee"/>
    <s v="USA"/>
    <s v="West"/>
    <x v="1"/>
    <x v="0"/>
    <x v="0"/>
    <n v="4"/>
    <s v="Ok"/>
    <n v="300"/>
    <x v="0"/>
    <x v="0"/>
    <s v="Senior"/>
    <s v="Completed"/>
    <n v="1200"/>
    <n v="60"/>
    <x v="2"/>
    <n v="1140"/>
    <n v="1"/>
  </r>
  <r>
    <n v="175"/>
    <x v="168"/>
    <x v="11"/>
    <x v="0"/>
    <s v="Mary Smith"/>
    <s v="USA"/>
    <s v="North"/>
    <x v="5"/>
    <x v="1"/>
    <x v="3"/>
    <m/>
    <s v="Missing Quantity"/>
    <n v="800"/>
    <x v="3"/>
    <x v="2"/>
    <s v="Senior"/>
    <s v="Cancelled"/>
    <m/>
    <m/>
    <x v="1"/>
    <m/>
    <n v="1"/>
  </r>
  <r>
    <n v="176"/>
    <x v="169"/>
    <x v="11"/>
    <x v="0"/>
    <s v="Alex Brown"/>
    <s v="USA"/>
    <s v="South"/>
    <x v="0"/>
    <x v="0"/>
    <x v="0"/>
    <n v="2"/>
    <s v="Ok"/>
    <n v="150"/>
    <x v="0"/>
    <x v="0"/>
    <s v="Senior"/>
    <s v="Completed"/>
    <n v="300"/>
    <n v="15"/>
    <x v="0"/>
    <n v="285"/>
    <n v="1"/>
  </r>
  <r>
    <n v="177"/>
    <x v="170"/>
    <x v="11"/>
    <x v="0"/>
    <s v="John Doe"/>
    <s v="USA"/>
    <s v="East"/>
    <x v="3"/>
    <x v="1"/>
    <x v="1"/>
    <n v="5"/>
    <s v="Ok"/>
    <n v="20"/>
    <x v="1"/>
    <x v="3"/>
    <s v="Mid"/>
    <s v="Pending"/>
    <n v="100"/>
    <n v="6"/>
    <x v="0"/>
    <n v="94"/>
    <n v="1"/>
  </r>
  <r>
    <n v="178"/>
    <x v="171"/>
    <x v="11"/>
    <x v="0"/>
    <s v="Susan Lee"/>
    <s v="USA"/>
    <s v="West"/>
    <x v="2"/>
    <x v="1"/>
    <x v="1"/>
    <n v="1"/>
    <s v="Ok"/>
    <n v="50"/>
    <x v="2"/>
    <x v="0"/>
    <s v="Junior"/>
    <s v="Completed"/>
    <n v="50"/>
    <n v="0"/>
    <x v="0"/>
    <n v="50"/>
    <n v="1"/>
  </r>
  <r>
    <n v="179"/>
    <x v="172"/>
    <x v="11"/>
    <x v="0"/>
    <s v="Mary Smith"/>
    <s v="USA"/>
    <s v="North"/>
    <x v="1"/>
    <x v="0"/>
    <x v="0"/>
    <n v="3"/>
    <s v="Ok"/>
    <n v="300"/>
    <x v="0"/>
    <x v="2"/>
    <s v="Senior"/>
    <s v="Pending"/>
    <n v="900"/>
    <n v="63"/>
    <x v="0"/>
    <n v="837"/>
    <n v="1"/>
  </r>
  <r>
    <n v="180"/>
    <x v="173"/>
    <x v="11"/>
    <x v="0"/>
    <s v="Alex Brown"/>
    <s v="USA"/>
    <s v="South"/>
    <x v="5"/>
    <x v="1"/>
    <x v="3"/>
    <n v="2"/>
    <s v="Ok"/>
    <n v="800"/>
    <x v="3"/>
    <x v="1"/>
    <s v="Senior"/>
    <s v="Completed"/>
    <n v="1600"/>
    <n v="64"/>
    <x v="2"/>
    <n v="1536"/>
    <n v="1"/>
  </r>
  <r>
    <n v="181"/>
    <x v="174"/>
    <x v="11"/>
    <x v="0"/>
    <s v="John Doe"/>
    <s v="USA"/>
    <s v="East"/>
    <x v="0"/>
    <x v="0"/>
    <x v="0"/>
    <n v="4"/>
    <s v="Ok"/>
    <n v="150"/>
    <x v="0"/>
    <x v="0"/>
    <s v="Senior"/>
    <s v="Completed"/>
    <n v="600"/>
    <n v="30"/>
    <x v="0"/>
    <n v="570"/>
    <n v="1"/>
  </r>
  <r>
    <n v="182"/>
    <x v="175"/>
    <x v="11"/>
    <x v="0"/>
    <s v="Susan Lee"/>
    <s v="USA"/>
    <s v="West"/>
    <x v="3"/>
    <x v="1"/>
    <x v="1"/>
    <n v="1"/>
    <s v="Ok"/>
    <n v="20"/>
    <x v="1"/>
    <x v="2"/>
    <s v="Mid"/>
    <s v="Cancelled"/>
    <n v="20"/>
    <n v="0"/>
    <x v="0"/>
    <n v="20"/>
    <n v="1"/>
  </r>
  <r>
    <n v="183"/>
    <x v="9"/>
    <x v="0"/>
    <x v="0"/>
    <s v="Mary Smith"/>
    <s v="USA"/>
    <s v="North"/>
    <x v="2"/>
    <x v="1"/>
    <x v="1"/>
    <n v="2"/>
    <s v="Ok"/>
    <n v="50"/>
    <x v="2"/>
    <x v="0"/>
    <s v="Junior"/>
    <s v="Pending"/>
    <n v="100"/>
    <n v="5"/>
    <x v="0"/>
    <n v="95"/>
    <n v="1"/>
  </r>
  <r>
    <n v="184"/>
    <x v="176"/>
    <x v="4"/>
    <x v="0"/>
    <s v="Alex Brown"/>
    <s v="USA"/>
    <s v="South"/>
    <x v="1"/>
    <x v="0"/>
    <x v="0"/>
    <n v="5"/>
    <s v="Ok"/>
    <n v="300"/>
    <x v="0"/>
    <x v="3"/>
    <s v="Senior"/>
    <s v="Completed"/>
    <n v="1500"/>
    <n v="90"/>
    <x v="2"/>
    <n v="1410"/>
    <n v="1"/>
  </r>
  <r>
    <n v="185"/>
    <x v="177"/>
    <x v="5"/>
    <x v="0"/>
    <s v="John Doe"/>
    <s v="USA"/>
    <s v="East"/>
    <x v="5"/>
    <x v="1"/>
    <x v="3"/>
    <n v="3"/>
    <s v="Ok"/>
    <n v="800"/>
    <x v="3"/>
    <x v="0"/>
    <s v="Senior"/>
    <s v="Completed"/>
    <n v="2400"/>
    <n v="120"/>
    <x v="3"/>
    <n v="2280"/>
    <n v="1"/>
  </r>
  <r>
    <n v="186"/>
    <x v="178"/>
    <x v="3"/>
    <x v="0"/>
    <s v="Susan Lee"/>
    <s v="USA"/>
    <s v="West"/>
    <x v="0"/>
    <x v="0"/>
    <x v="0"/>
    <m/>
    <s v="Missing Quantity"/>
    <n v="150"/>
    <x v="0"/>
    <x v="2"/>
    <s v="Senior"/>
    <s v="Pending"/>
    <m/>
    <m/>
    <x v="1"/>
    <m/>
    <n v="1"/>
  </r>
  <r>
    <n v="187"/>
    <x v="179"/>
    <x v="6"/>
    <x v="0"/>
    <s v="Mary Smith"/>
    <s v="USA"/>
    <s v="North"/>
    <x v="3"/>
    <x v="1"/>
    <x v="1"/>
    <n v="2"/>
    <s v="Ok"/>
    <n v="20"/>
    <x v="1"/>
    <x v="1"/>
    <s v="Mid"/>
    <s v="Completed"/>
    <n v="40"/>
    <n v="1.6"/>
    <x v="0"/>
    <n v="38.4"/>
    <n v="1"/>
  </r>
  <r>
    <n v="188"/>
    <x v="180"/>
    <x v="11"/>
    <x v="0"/>
    <s v="Alex Brown"/>
    <s v="USA"/>
    <s v="South"/>
    <x v="2"/>
    <x v="1"/>
    <x v="1"/>
    <n v="1"/>
    <s v="Ok"/>
    <n v="50"/>
    <x v="2"/>
    <x v="0"/>
    <s v="Junior"/>
    <s v="Completed"/>
    <n v="50"/>
    <n v="0"/>
    <x v="0"/>
    <n v="50"/>
    <n v="1"/>
  </r>
  <r>
    <n v="189"/>
    <x v="181"/>
    <x v="7"/>
    <x v="0"/>
    <s v="John Doe"/>
    <s v="USA"/>
    <s v="East"/>
    <x v="1"/>
    <x v="0"/>
    <x v="0"/>
    <n v="4"/>
    <s v="Ok"/>
    <n v="300"/>
    <x v="0"/>
    <x v="2"/>
    <s v="Senior"/>
    <s v="Pending"/>
    <n v="1200"/>
    <n v="84"/>
    <x v="2"/>
    <n v="1116"/>
    <n v="1"/>
  </r>
  <r>
    <n v="190"/>
    <x v="182"/>
    <x v="1"/>
    <x v="0"/>
    <s v="Susan Lee"/>
    <s v="USA"/>
    <s v="West"/>
    <x v="5"/>
    <x v="1"/>
    <x v="3"/>
    <n v="2"/>
    <s v="Ok"/>
    <n v="800"/>
    <x v="3"/>
    <x v="0"/>
    <s v="Senior"/>
    <s v="Completed"/>
    <n v="1600"/>
    <n v="80"/>
    <x v="2"/>
    <n v="1520"/>
    <n v="1"/>
  </r>
  <r>
    <n v="191"/>
    <x v="183"/>
    <x v="8"/>
    <x v="0"/>
    <s v="Mary Smith"/>
    <s v="USA"/>
    <s v="North"/>
    <x v="4"/>
    <x v="1"/>
    <x v="2"/>
    <n v="5"/>
    <s v="Ok"/>
    <n v="200"/>
    <x v="0"/>
    <x v="0"/>
    <s v="Senior"/>
    <s v="Cancelled"/>
    <n v="1000"/>
    <n v="50"/>
    <x v="2"/>
    <n v="950"/>
    <n v="1"/>
  </r>
  <r>
    <n v="192"/>
    <x v="184"/>
    <x v="2"/>
    <x v="0"/>
    <s v="Alex Brown"/>
    <s v="USA"/>
    <s v="South"/>
    <x v="0"/>
    <x v="0"/>
    <x v="0"/>
    <n v="3"/>
    <s v="Ok"/>
    <n v="150"/>
    <x v="1"/>
    <x v="2"/>
    <s v="Mid"/>
    <s v="Completed"/>
    <n v="450"/>
    <n v="31.5"/>
    <x v="0"/>
    <n v="418.5"/>
    <n v="1"/>
  </r>
  <r>
    <n v="193"/>
    <x v="185"/>
    <x v="9"/>
    <x v="0"/>
    <s v="John Doe"/>
    <s v="USA"/>
    <s v="East"/>
    <x v="3"/>
    <x v="1"/>
    <x v="1"/>
    <n v="1"/>
    <s v="Ok"/>
    <n v="20"/>
    <x v="2"/>
    <x v="1"/>
    <s v="Junior"/>
    <s v="Pending"/>
    <n v="20"/>
    <n v="0"/>
    <x v="0"/>
    <n v="20"/>
    <n v="1"/>
  </r>
  <r>
    <n v="194"/>
    <x v="186"/>
    <x v="10"/>
    <x v="0"/>
    <s v="Susan Lee"/>
    <s v="USA"/>
    <s v="West"/>
    <x v="2"/>
    <x v="1"/>
    <x v="1"/>
    <n v="2"/>
    <s v="Ok"/>
    <n v="50"/>
    <x v="0"/>
    <x v="0"/>
    <s v="Senior"/>
    <s v="Completed"/>
    <n v="100"/>
    <n v="5"/>
    <x v="0"/>
    <n v="95"/>
    <n v="1"/>
  </r>
  <r>
    <n v="195"/>
    <x v="187"/>
    <x v="7"/>
    <x v="0"/>
    <s v="Mary Smith"/>
    <s v="USA"/>
    <s v="North"/>
    <x v="1"/>
    <x v="0"/>
    <x v="0"/>
    <m/>
    <s v="Missing Quantity"/>
    <n v="300"/>
    <x v="3"/>
    <x v="3"/>
    <s v="Senior"/>
    <s v="Completed"/>
    <m/>
    <m/>
    <x v="1"/>
    <m/>
    <n v="1"/>
  </r>
  <r>
    <n v="196"/>
    <x v="188"/>
    <x v="7"/>
    <x v="0"/>
    <s v="Alex Brown"/>
    <s v="USA"/>
    <s v="South"/>
    <x v="5"/>
    <x v="1"/>
    <x v="3"/>
    <n v="4"/>
    <s v="Ok"/>
    <n v="800"/>
    <x v="0"/>
    <x v="0"/>
    <s v="Senior"/>
    <s v="Pending"/>
    <n v="3200"/>
    <n v="160"/>
    <x v="3"/>
    <n v="3040"/>
    <n v="1"/>
  </r>
  <r>
    <n v="197"/>
    <x v="189"/>
    <x v="7"/>
    <x v="0"/>
    <s v="John Doe"/>
    <s v="USA"/>
    <s v="East"/>
    <x v="0"/>
    <x v="0"/>
    <x v="0"/>
    <n v="2"/>
    <s v="Ok"/>
    <n v="150"/>
    <x v="1"/>
    <x v="2"/>
    <s v="Mid"/>
    <s v="Completed"/>
    <n v="300"/>
    <n v="0"/>
    <x v="0"/>
    <n v="300"/>
    <n v="1"/>
  </r>
  <r>
    <n v="198"/>
    <x v="190"/>
    <x v="7"/>
    <x v="0"/>
    <s v="Susan Lee"/>
    <s v="USA"/>
    <s v="West"/>
    <x v="3"/>
    <x v="1"/>
    <x v="1"/>
    <n v="5"/>
    <s v="Ok"/>
    <n v="20"/>
    <x v="2"/>
    <x v="2"/>
    <s v="Junior"/>
    <s v="Cancelled"/>
    <n v="100"/>
    <n v="7"/>
    <x v="0"/>
    <n v="93"/>
    <n v="1"/>
  </r>
  <r>
    <n v="199"/>
    <x v="191"/>
    <x v="7"/>
    <x v="0"/>
    <s v="Mary Smith"/>
    <s v="USA"/>
    <s v="North"/>
    <x v="2"/>
    <x v="1"/>
    <x v="1"/>
    <n v="1"/>
    <s v="Ok"/>
    <n v="50"/>
    <x v="0"/>
    <x v="1"/>
    <s v="Senior"/>
    <s v="Completed"/>
    <n v="50"/>
    <n v="0"/>
    <x v="0"/>
    <n v="50"/>
    <n v="1"/>
  </r>
  <r>
    <n v="200"/>
    <x v="192"/>
    <x v="7"/>
    <x v="0"/>
    <s v="Alex Brown"/>
    <s v="USA"/>
    <s v="South"/>
    <x v="1"/>
    <x v="0"/>
    <x v="0"/>
    <n v="3"/>
    <s v="Ok"/>
    <n v="300"/>
    <x v="3"/>
    <x v="0"/>
    <s v="Senior"/>
    <s v="Pending"/>
    <n v="900"/>
    <n v="45"/>
    <x v="0"/>
    <n v="855"/>
    <n v="1"/>
  </r>
  <r>
    <n v="201"/>
    <x v="193"/>
    <x v="7"/>
    <x v="0"/>
    <s v="John Doe"/>
    <s v="USA"/>
    <s v="East"/>
    <x v="0"/>
    <x v="0"/>
    <x v="0"/>
    <n v="2"/>
    <s v="Ok"/>
    <n v="150"/>
    <x v="0"/>
    <x v="0"/>
    <s v="Senior"/>
    <s v="Completed"/>
    <n v="300"/>
    <n v="15"/>
    <x v="0"/>
    <n v="285"/>
    <n v="1"/>
  </r>
  <r>
    <n v="202"/>
    <x v="194"/>
    <x v="7"/>
    <x v="0"/>
    <s v="John Doe"/>
    <s v="USA"/>
    <s v="East"/>
    <x v="0"/>
    <x v="0"/>
    <x v="0"/>
    <n v="1"/>
    <s v="Ok"/>
    <n v="150"/>
    <x v="0"/>
    <x v="0"/>
    <s v="Senior"/>
    <s v="Completed"/>
    <n v="150"/>
    <n v="0"/>
    <x v="0"/>
    <n v="150"/>
    <n v="1"/>
  </r>
  <r>
    <n v="203"/>
    <x v="195"/>
    <x v="7"/>
    <x v="0"/>
    <s v="Mary Smith"/>
    <s v="USA"/>
    <s v="North"/>
    <x v="1"/>
    <x v="0"/>
    <x v="0"/>
    <n v="3"/>
    <s v="Ok"/>
    <n v="300"/>
    <x v="1"/>
    <x v="2"/>
    <s v="Mid"/>
    <s v="Completed"/>
    <n v="900"/>
    <n v="63"/>
    <x v="0"/>
    <n v="837"/>
    <n v="1"/>
  </r>
  <r>
    <n v="204"/>
    <x v="196"/>
    <x v="7"/>
    <x v="0"/>
    <s v="Alex Brown"/>
    <s v="USA"/>
    <s v="South"/>
    <x v="5"/>
    <x v="1"/>
    <x v="3"/>
    <n v="5"/>
    <s v="Ok"/>
    <n v="800"/>
    <x v="2"/>
    <x v="2"/>
    <s v="Junior"/>
    <s v="Pending"/>
    <n v="4000"/>
    <n v="280"/>
    <x v="3"/>
    <n v="3720"/>
    <n v="1"/>
  </r>
  <r>
    <n v="205"/>
    <x v="197"/>
    <x v="7"/>
    <x v="0"/>
    <s v="Alex Brown"/>
    <s v="USA"/>
    <s v="South"/>
    <x v="3"/>
    <x v="1"/>
    <x v="1"/>
    <n v="2"/>
    <s v="Ok"/>
    <n v="20"/>
    <x v="3"/>
    <x v="3"/>
    <s v="Senior"/>
    <s v="Completed"/>
    <n v="40"/>
    <n v="0"/>
    <x v="0"/>
    <n v="40"/>
    <n v="1"/>
  </r>
  <r>
    <n v="206"/>
    <x v="198"/>
    <x v="7"/>
    <x v="0"/>
    <s v="Susan Lee"/>
    <s v="USA"/>
    <s v="West"/>
    <x v="2"/>
    <x v="1"/>
    <x v="1"/>
    <m/>
    <s v="Missing Quantity"/>
    <n v="50"/>
    <x v="0"/>
    <x v="1"/>
    <s v="Senior"/>
    <s v="Cancelled"/>
    <m/>
    <m/>
    <x v="1"/>
    <m/>
    <n v="1"/>
  </r>
  <r>
    <n v="207"/>
    <x v="199"/>
    <x v="7"/>
    <x v="0"/>
    <s v="Susan Lee"/>
    <s v="USA"/>
    <s v="West"/>
    <x v="4"/>
    <x v="1"/>
    <x v="2"/>
    <n v="4"/>
    <s v="Ok"/>
    <n v="200"/>
    <x v="1"/>
    <x v="0"/>
    <s v="Mid"/>
    <s v="Completed"/>
    <n v="800"/>
    <n v="40"/>
    <x v="0"/>
    <n v="760"/>
    <n v="1"/>
  </r>
  <r>
    <n v="208"/>
    <x v="200"/>
    <x v="7"/>
    <x v="0"/>
    <s v="John Doe"/>
    <s v="USA"/>
    <s v="East"/>
    <x v="1"/>
    <x v="0"/>
    <x v="0"/>
    <n v="1"/>
    <s v="Ok"/>
    <n v="300"/>
    <x v="0"/>
    <x v="0"/>
    <s v="Senior"/>
    <s v="Pending"/>
    <n v="300"/>
    <n v="0"/>
    <x v="0"/>
    <n v="300"/>
    <n v="1"/>
  </r>
  <r>
    <n v="209"/>
    <x v="201"/>
    <x v="7"/>
    <x v="0"/>
    <s v="Mary Smith"/>
    <s v="USA"/>
    <s v="North"/>
    <x v="5"/>
    <x v="1"/>
    <x v="3"/>
    <n v="2"/>
    <s v="Ok"/>
    <n v="800"/>
    <x v="2"/>
    <x v="2"/>
    <s v="Junior"/>
    <s v="Completed"/>
    <n v="1600"/>
    <n v="0"/>
    <x v="2"/>
    <n v="1600"/>
    <n v="1"/>
  </r>
  <r>
    <n v="210"/>
    <x v="202"/>
    <x v="7"/>
    <x v="0"/>
    <s v="Alex Brown"/>
    <s v="USA"/>
    <s v="South"/>
    <x v="0"/>
    <x v="0"/>
    <x v="0"/>
    <n v="3"/>
    <s v="Ok"/>
    <n v="150"/>
    <x v="3"/>
    <x v="3"/>
    <s v="Senior"/>
    <s v="Completed"/>
    <n v="450"/>
    <n v="27"/>
    <x v="0"/>
    <n v="423"/>
    <n v="1"/>
  </r>
  <r>
    <n v="211"/>
    <x v="203"/>
    <x v="7"/>
    <x v="0"/>
    <s v="Alex Brown"/>
    <s v="USA"/>
    <s v="South"/>
    <x v="3"/>
    <x v="1"/>
    <x v="1"/>
    <n v="1"/>
    <s v="Ok"/>
    <n v="20"/>
    <x v="0"/>
    <x v="0"/>
    <s v="Senior"/>
    <s v="Completed"/>
    <n v="20"/>
    <n v="0"/>
    <x v="0"/>
    <n v="20"/>
    <n v="1"/>
  </r>
  <r>
    <n v="212"/>
    <x v="204"/>
    <x v="7"/>
    <x v="0"/>
    <s v="John Doe"/>
    <s v="USA"/>
    <s v="East"/>
    <x v="2"/>
    <x v="1"/>
    <x v="1"/>
    <n v="2"/>
    <s v="Ok"/>
    <n v="50"/>
    <x v="1"/>
    <x v="1"/>
    <s v="Mid"/>
    <s v="Pending"/>
    <n v="100"/>
    <n v="4"/>
    <x v="0"/>
    <n v="96"/>
    <n v="1"/>
  </r>
  <r>
    <n v="213"/>
    <x v="205"/>
    <x v="7"/>
    <x v="0"/>
    <s v="Susan Lee"/>
    <s v="USA"/>
    <s v="West"/>
    <x v="1"/>
    <x v="0"/>
    <x v="0"/>
    <m/>
    <s v="Missing Quantity"/>
    <n v="300"/>
    <x v="2"/>
    <x v="2"/>
    <s v="Junior"/>
    <s v="Completed"/>
    <m/>
    <m/>
    <x v="1"/>
    <m/>
    <n v="1"/>
  </r>
  <r>
    <n v="214"/>
    <x v="206"/>
    <x v="0"/>
    <x v="0"/>
    <s v="Mary Smith"/>
    <s v="USA"/>
    <s v="North"/>
    <x v="4"/>
    <x v="1"/>
    <x v="2"/>
    <n v="3"/>
    <s v="Ok"/>
    <n v="200"/>
    <x v="0"/>
    <x v="0"/>
    <s v="Senior"/>
    <s v="Cancelled"/>
    <n v="600"/>
    <n v="30"/>
    <x v="0"/>
    <n v="570"/>
    <n v="1"/>
  </r>
  <r>
    <n v="215"/>
    <x v="37"/>
    <x v="4"/>
    <x v="0"/>
    <s v="Alex Brown"/>
    <s v="USA"/>
    <s v="South"/>
    <x v="5"/>
    <x v="1"/>
    <x v="3"/>
    <n v="2"/>
    <s v="Ok"/>
    <n v="800"/>
    <x v="3"/>
    <x v="3"/>
    <s v="Senior"/>
    <s v="Completed"/>
    <n v="1600"/>
    <n v="0"/>
    <x v="2"/>
    <n v="1600"/>
    <n v="1"/>
  </r>
  <r>
    <n v="216"/>
    <x v="207"/>
    <x v="5"/>
    <x v="0"/>
    <s v="John Doe"/>
    <s v="USA"/>
    <s v="East"/>
    <x v="0"/>
    <x v="0"/>
    <x v="0"/>
    <n v="1"/>
    <s v="Ok"/>
    <n v="150"/>
    <x v="0"/>
    <x v="0"/>
    <s v="Senior"/>
    <s v="Pending"/>
    <n v="150"/>
    <n v="0"/>
    <x v="0"/>
    <n v="150"/>
    <n v="1"/>
  </r>
  <r>
    <n v="217"/>
    <x v="208"/>
    <x v="3"/>
    <x v="0"/>
    <s v="Susan Lee"/>
    <s v="USA"/>
    <s v="West"/>
    <x v="3"/>
    <x v="1"/>
    <x v="1"/>
    <n v="2"/>
    <s v="Ok"/>
    <n v="20"/>
    <x v="1"/>
    <x v="2"/>
    <s v="Mid"/>
    <s v="Completed"/>
    <n v="40"/>
    <n v="0"/>
    <x v="0"/>
    <n v="40"/>
    <n v="1"/>
  </r>
  <r>
    <n v="218"/>
    <x v="209"/>
    <x v="6"/>
    <x v="0"/>
    <s v="Mary Smith"/>
    <s v="USA"/>
    <s v="North"/>
    <x v="2"/>
    <x v="1"/>
    <x v="1"/>
    <n v="5"/>
    <s v="Ok"/>
    <n v="50"/>
    <x v="2"/>
    <x v="1"/>
    <s v="Junior"/>
    <s v="Completed"/>
    <n v="250"/>
    <n v="10"/>
    <x v="0"/>
    <n v="240"/>
    <n v="1"/>
  </r>
  <r>
    <n v="219"/>
    <x v="210"/>
    <x v="11"/>
    <x v="0"/>
    <s v="Alex Brown"/>
    <s v="USA"/>
    <s v="South"/>
    <x v="1"/>
    <x v="0"/>
    <x v="0"/>
    <n v="4"/>
    <s v="Ok"/>
    <n v="300"/>
    <x v="0"/>
    <x v="0"/>
    <s v="Senior"/>
    <s v="Completed"/>
    <n v="1200"/>
    <n v="60"/>
    <x v="2"/>
    <n v="1140"/>
    <n v="1"/>
  </r>
  <r>
    <n v="220"/>
    <x v="211"/>
    <x v="7"/>
    <x v="0"/>
    <s v="Alex Brown"/>
    <s v="USA"/>
    <s v="South"/>
    <x v="5"/>
    <x v="1"/>
    <x v="3"/>
    <m/>
    <s v="Missing Quantity"/>
    <n v="800"/>
    <x v="3"/>
    <x v="3"/>
    <s v="Senior"/>
    <s v="Pending"/>
    <m/>
    <m/>
    <x v="1"/>
    <m/>
    <n v="1"/>
  </r>
  <r>
    <n v="221"/>
    <x v="212"/>
    <x v="1"/>
    <x v="0"/>
    <s v="John Doe"/>
    <s v="USA"/>
    <s v="East"/>
    <x v="0"/>
    <x v="0"/>
    <x v="0"/>
    <n v="3"/>
    <s v="Ok"/>
    <n v="150"/>
    <x v="0"/>
    <x v="0"/>
    <s v="Senior"/>
    <s v="Completed"/>
    <n v="450"/>
    <n v="22.5"/>
    <x v="0"/>
    <n v="427.5"/>
    <n v="1"/>
  </r>
  <r>
    <n v="222"/>
    <x v="213"/>
    <x v="8"/>
    <x v="0"/>
    <s v="Mary Smith"/>
    <s v="USA"/>
    <s v="North"/>
    <x v="3"/>
    <x v="1"/>
    <x v="1"/>
    <n v="1"/>
    <s v="Ok"/>
    <n v="20"/>
    <x v="1"/>
    <x v="2"/>
    <s v="Mid"/>
    <s v="Cancelled"/>
    <n v="20"/>
    <n v="0"/>
    <x v="0"/>
    <n v="20"/>
    <n v="1"/>
  </r>
  <r>
    <n v="223"/>
    <x v="214"/>
    <x v="2"/>
    <x v="0"/>
    <s v="Susan Lee"/>
    <s v="USA"/>
    <s v="West"/>
    <x v="4"/>
    <x v="1"/>
    <x v="2"/>
    <n v="2"/>
    <s v="Ok"/>
    <n v="200"/>
    <x v="2"/>
    <x v="2"/>
    <s v="Junior"/>
    <s v="Completed"/>
    <n v="400"/>
    <n v="0"/>
    <x v="0"/>
    <n v="400"/>
    <n v="1"/>
  </r>
  <r>
    <n v="224"/>
    <x v="215"/>
    <x v="9"/>
    <x v="0"/>
    <s v="Alex Brown"/>
    <s v="USA"/>
    <s v="South"/>
    <x v="2"/>
    <x v="1"/>
    <x v="1"/>
    <n v="2"/>
    <s v="Ok"/>
    <n v="50"/>
    <x v="0"/>
    <x v="1"/>
    <s v="Senior"/>
    <s v="Pending"/>
    <n v="100"/>
    <n v="4"/>
    <x v="0"/>
    <n v="96"/>
    <n v="1"/>
  </r>
  <r>
    <n v="225"/>
    <x v="216"/>
    <x v="10"/>
    <x v="0"/>
    <s v="John Doe"/>
    <s v="USA"/>
    <s v="East"/>
    <x v="1"/>
    <x v="0"/>
    <x v="0"/>
    <n v="5"/>
    <s v="Ok"/>
    <n v="300"/>
    <x v="3"/>
    <x v="0"/>
    <s v="Senior"/>
    <s v="Completed"/>
    <n v="1500"/>
    <n v="75"/>
    <x v="2"/>
    <n v="1425"/>
    <n v="1"/>
  </r>
  <r>
    <n v="226"/>
    <x v="217"/>
    <x v="1"/>
    <x v="0"/>
    <s v="Mary Smith"/>
    <s v="USA"/>
    <s v="North"/>
    <x v="5"/>
    <x v="1"/>
    <x v="3"/>
    <n v="3"/>
    <s v="Ok"/>
    <n v="800"/>
    <x v="0"/>
    <x v="0"/>
    <s v="Senior"/>
    <s v="Completed"/>
    <n v="2400"/>
    <n v="120"/>
    <x v="3"/>
    <n v="2280"/>
    <n v="1"/>
  </r>
  <r>
    <n v="227"/>
    <x v="218"/>
    <x v="1"/>
    <x v="0"/>
    <s v="Alex Brown"/>
    <s v="USA"/>
    <s v="South"/>
    <x v="0"/>
    <x v="0"/>
    <x v="0"/>
    <n v="1"/>
    <s v="Ok"/>
    <n v="150"/>
    <x v="1"/>
    <x v="3"/>
    <s v="Mid"/>
    <s v="Completed"/>
    <n v="150"/>
    <n v="0"/>
    <x v="0"/>
    <n v="150"/>
    <n v="1"/>
  </r>
  <r>
    <n v="228"/>
    <x v="219"/>
    <x v="1"/>
    <x v="0"/>
    <s v="Susan Lee"/>
    <s v="USA"/>
    <s v="West"/>
    <x v="3"/>
    <x v="1"/>
    <x v="1"/>
    <m/>
    <s v="Missing Quantity"/>
    <n v="20"/>
    <x v="2"/>
    <x v="2"/>
    <s v="Junior"/>
    <s v="Pending"/>
    <m/>
    <m/>
    <x v="1"/>
    <m/>
    <n v="1"/>
  </r>
  <r>
    <n v="229"/>
    <x v="220"/>
    <x v="1"/>
    <x v="0"/>
    <s v="John Doe"/>
    <s v="USA"/>
    <s v="East"/>
    <x v="2"/>
    <x v="1"/>
    <x v="1"/>
    <n v="2"/>
    <s v="Ok"/>
    <n v="50"/>
    <x v="0"/>
    <x v="0"/>
    <s v="Senior"/>
    <s v="Completed"/>
    <n v="100"/>
    <n v="5"/>
    <x v="0"/>
    <n v="95"/>
    <n v="1"/>
  </r>
  <r>
    <n v="230"/>
    <x v="221"/>
    <x v="1"/>
    <x v="0"/>
    <s v="Mary Smith"/>
    <s v="USA"/>
    <s v="North"/>
    <x v="1"/>
    <x v="0"/>
    <x v="0"/>
    <n v="4"/>
    <s v="Ok"/>
    <n v="300"/>
    <x v="3"/>
    <x v="2"/>
    <s v="Senior"/>
    <s v="Cancelled"/>
    <n v="1200"/>
    <n v="84"/>
    <x v="2"/>
    <n v="1116"/>
    <n v="1"/>
  </r>
  <r>
    <n v="231"/>
    <x v="222"/>
    <x v="1"/>
    <x v="0"/>
    <s v="Alex Brown"/>
    <s v="USA"/>
    <s v="South"/>
    <x v="5"/>
    <x v="1"/>
    <x v="3"/>
    <n v="1"/>
    <s v="Ok"/>
    <n v="800"/>
    <x v="0"/>
    <x v="1"/>
    <s v="Senior"/>
    <s v="Completed"/>
    <n v="800"/>
    <n v="0"/>
    <x v="0"/>
    <n v="800"/>
    <n v="1"/>
  </r>
  <r>
    <n v="232"/>
    <x v="223"/>
    <x v="1"/>
    <x v="0"/>
    <s v="Alex Brown"/>
    <s v="USA"/>
    <s v="South"/>
    <x v="4"/>
    <x v="1"/>
    <x v="2"/>
    <n v="3"/>
    <s v="Ok"/>
    <n v="200"/>
    <x v="1"/>
    <x v="0"/>
    <s v="Mid"/>
    <s v="Pending"/>
    <n v="600"/>
    <n v="30"/>
    <x v="0"/>
    <n v="570"/>
    <n v="1"/>
  </r>
  <r>
    <n v="233"/>
    <x v="224"/>
    <x v="1"/>
    <x v="0"/>
    <s v="John Doe"/>
    <s v="USA"/>
    <s v="East"/>
    <x v="0"/>
    <x v="0"/>
    <x v="0"/>
    <n v="2"/>
    <s v="Ok"/>
    <n v="150"/>
    <x v="2"/>
    <x v="3"/>
    <s v="Junior"/>
    <s v="Completed"/>
    <n v="300"/>
    <n v="0"/>
    <x v="0"/>
    <n v="300"/>
    <n v="1"/>
  </r>
  <r>
    <n v="234"/>
    <x v="225"/>
    <x v="1"/>
    <x v="0"/>
    <s v="Susan Lee"/>
    <s v="USA"/>
    <s v="West"/>
    <x v="3"/>
    <x v="1"/>
    <x v="1"/>
    <n v="5"/>
    <s v="Ok"/>
    <n v="20"/>
    <x v="0"/>
    <x v="2"/>
    <s v="Senior"/>
    <s v="Completed"/>
    <n v="100"/>
    <n v="7"/>
    <x v="0"/>
    <n v="93"/>
    <n v="1"/>
  </r>
  <r>
    <n v="235"/>
    <x v="226"/>
    <x v="1"/>
    <x v="0"/>
    <s v="Mary Smith"/>
    <s v="USA"/>
    <s v="North"/>
    <x v="2"/>
    <x v="1"/>
    <x v="1"/>
    <n v="1"/>
    <s v="Ok"/>
    <n v="50"/>
    <x v="3"/>
    <x v="0"/>
    <s v="Senior"/>
    <s v="Completed"/>
    <n v="50"/>
    <n v="0"/>
    <x v="0"/>
    <n v="50"/>
    <n v="1"/>
  </r>
  <r>
    <n v="236"/>
    <x v="227"/>
    <x v="1"/>
    <x v="0"/>
    <s v="Alex Brown"/>
    <s v="USA"/>
    <s v="South"/>
    <x v="1"/>
    <x v="0"/>
    <x v="0"/>
    <n v="2"/>
    <s v="Ok"/>
    <n v="300"/>
    <x v="0"/>
    <x v="2"/>
    <s v="Senior"/>
    <s v="Pending"/>
    <n v="600"/>
    <n v="0"/>
    <x v="0"/>
    <n v="600"/>
    <n v="1"/>
  </r>
  <r>
    <n v="237"/>
    <x v="228"/>
    <x v="1"/>
    <x v="0"/>
    <s v="John Doe"/>
    <s v="USA"/>
    <s v="East"/>
    <x v="5"/>
    <x v="1"/>
    <x v="3"/>
    <n v="3"/>
    <s v="Ok"/>
    <n v="800"/>
    <x v="1"/>
    <x v="1"/>
    <s v="Mid"/>
    <s v="Completed"/>
    <n v="2400"/>
    <n v="96"/>
    <x v="3"/>
    <n v="2304"/>
    <n v="1"/>
  </r>
  <r>
    <n v="238"/>
    <x v="229"/>
    <x v="1"/>
    <x v="0"/>
    <s v="Susan Lee"/>
    <s v="USA"/>
    <s v="West"/>
    <x v="0"/>
    <x v="0"/>
    <x v="0"/>
    <m/>
    <s v="Missing Quantity"/>
    <n v="150"/>
    <x v="2"/>
    <x v="0"/>
    <s v="Junior"/>
    <s v="Cancelled"/>
    <m/>
    <m/>
    <x v="1"/>
    <m/>
    <n v="1"/>
  </r>
  <r>
    <n v="239"/>
    <x v="230"/>
    <x v="1"/>
    <x v="0"/>
    <s v="Mary Smith"/>
    <s v="USA"/>
    <s v="North"/>
    <x v="3"/>
    <x v="1"/>
    <x v="1"/>
    <n v="2"/>
    <s v="Ok"/>
    <n v="20"/>
    <x v="0"/>
    <x v="0"/>
    <s v="Senior"/>
    <s v="Completed"/>
    <n v="40"/>
    <n v="2"/>
    <x v="0"/>
    <n v="38"/>
    <n v="1"/>
  </r>
  <r>
    <n v="240"/>
    <x v="231"/>
    <x v="1"/>
    <x v="0"/>
    <s v="Alex Brown"/>
    <s v="USA"/>
    <s v="South"/>
    <x v="2"/>
    <x v="1"/>
    <x v="1"/>
    <n v="4"/>
    <s v="Ok"/>
    <n v="50"/>
    <x v="3"/>
    <x v="3"/>
    <s v="Senior"/>
    <s v="Pending"/>
    <n v="200"/>
    <n v="12"/>
    <x v="0"/>
    <n v="188"/>
    <n v="1"/>
  </r>
  <r>
    <n v="241"/>
    <x v="232"/>
    <x v="1"/>
    <x v="0"/>
    <s v="Alex Brown"/>
    <s v="USA"/>
    <s v="South"/>
    <x v="1"/>
    <x v="0"/>
    <x v="0"/>
    <n v="1"/>
    <s v="Ok"/>
    <n v="300"/>
    <x v="0"/>
    <x v="0"/>
    <s v="Senior"/>
    <s v="Completed"/>
    <n v="300"/>
    <n v="0"/>
    <x v="0"/>
    <n v="300"/>
    <n v="1"/>
  </r>
  <r>
    <n v="242"/>
    <x v="233"/>
    <x v="1"/>
    <x v="0"/>
    <s v="John Doe"/>
    <s v="USA"/>
    <s v="East"/>
    <x v="5"/>
    <x v="1"/>
    <x v="3"/>
    <n v="5"/>
    <s v="Ok"/>
    <n v="800"/>
    <x v="1"/>
    <x v="2"/>
    <s v="Mid"/>
    <s v="Completed"/>
    <n v="4000"/>
    <n v="280"/>
    <x v="3"/>
    <n v="3720"/>
    <n v="1"/>
  </r>
  <r>
    <n v="243"/>
    <x v="234"/>
    <x v="1"/>
    <x v="0"/>
    <s v="Susan Lee"/>
    <s v="USA"/>
    <s v="West"/>
    <x v="4"/>
    <x v="1"/>
    <x v="2"/>
    <n v="2"/>
    <s v="Ok"/>
    <n v="200"/>
    <x v="2"/>
    <x v="2"/>
    <s v="Junior"/>
    <s v="Pending"/>
    <n v="400"/>
    <n v="0"/>
    <x v="0"/>
    <n v="400"/>
    <n v="1"/>
  </r>
  <r>
    <n v="244"/>
    <x v="235"/>
    <x v="1"/>
    <x v="0"/>
    <s v="Mary Smith"/>
    <s v="USA"/>
    <s v="North"/>
    <x v="0"/>
    <x v="0"/>
    <x v="0"/>
    <n v="3"/>
    <s v="Ok"/>
    <n v="150"/>
    <x v="0"/>
    <x v="0"/>
    <s v="Senior"/>
    <s v="Completed"/>
    <n v="450"/>
    <n v="22.5"/>
    <x v="0"/>
    <n v="427.5"/>
    <n v="1"/>
  </r>
  <r>
    <n v="245"/>
    <x v="11"/>
    <x v="0"/>
    <x v="0"/>
    <s v="Alex Brown"/>
    <s v="USA"/>
    <s v="South"/>
    <x v="3"/>
    <x v="1"/>
    <x v="1"/>
    <n v="1"/>
    <s v="Ok"/>
    <n v="20"/>
    <x v="3"/>
    <x v="3"/>
    <s v="Senior"/>
    <s v="Completed"/>
    <n v="20"/>
    <n v="0"/>
    <x v="0"/>
    <n v="20"/>
    <n v="1"/>
  </r>
  <r>
    <n v="246"/>
    <x v="236"/>
    <x v="4"/>
    <x v="0"/>
    <s v="John Doe"/>
    <s v="USA"/>
    <s v="East"/>
    <x v="2"/>
    <x v="1"/>
    <x v="1"/>
    <n v="2"/>
    <s v="Ok"/>
    <n v="50"/>
    <x v="0"/>
    <x v="1"/>
    <s v="Senior"/>
    <s v="Pending"/>
    <n v="100"/>
    <n v="4"/>
    <x v="0"/>
    <n v="96"/>
    <n v="1"/>
  </r>
  <r>
    <n v="247"/>
    <x v="237"/>
    <x v="5"/>
    <x v="0"/>
    <s v="Susan Lee"/>
    <s v="USA"/>
    <s v="West"/>
    <x v="1"/>
    <x v="0"/>
    <x v="0"/>
    <n v="4"/>
    <s v="Ok"/>
    <n v="300"/>
    <x v="1"/>
    <x v="0"/>
    <s v="Mid"/>
    <s v="Completed"/>
    <n v="1200"/>
    <n v="60"/>
    <x v="2"/>
    <n v="1140"/>
    <n v="1"/>
  </r>
  <r>
    <n v="248"/>
    <x v="238"/>
    <x v="3"/>
    <x v="0"/>
    <s v="Mary Smith"/>
    <s v="USA"/>
    <s v="North"/>
    <x v="5"/>
    <x v="1"/>
    <x v="3"/>
    <m/>
    <s v="Missing Quantity"/>
    <n v="800"/>
    <x v="2"/>
    <x v="2"/>
    <s v="Junior"/>
    <s v="Cancelled"/>
    <m/>
    <m/>
    <x v="1"/>
    <m/>
    <n v="1"/>
  </r>
  <r>
    <n v="249"/>
    <x v="239"/>
    <x v="6"/>
    <x v="0"/>
    <s v="Alex Brown"/>
    <s v="USA"/>
    <s v="South"/>
    <x v="0"/>
    <x v="0"/>
    <x v="0"/>
    <n v="2"/>
    <s v="Ok"/>
    <n v="150"/>
    <x v="0"/>
    <x v="0"/>
    <s v="Senior"/>
    <s v="Completed"/>
    <n v="300"/>
    <n v="15"/>
    <x v="0"/>
    <n v="285"/>
    <n v="1"/>
  </r>
  <r>
    <n v="250"/>
    <x v="240"/>
    <x v="11"/>
    <x v="0"/>
    <s v="John Doe"/>
    <s v="USA"/>
    <s v="East"/>
    <x v="3"/>
    <x v="1"/>
    <x v="1"/>
    <n v="5"/>
    <s v="Ok"/>
    <n v="20"/>
    <x v="3"/>
    <x v="2"/>
    <s v="Senior"/>
    <s v="Pending"/>
    <n v="100"/>
    <n v="7"/>
    <x v="0"/>
    <n v="93"/>
    <n v="1"/>
  </r>
  <r>
    <n v="251"/>
    <x v="241"/>
    <x v="7"/>
    <x v="0"/>
    <s v="Mary Smith"/>
    <s v="USA"/>
    <s v="North"/>
    <x v="2"/>
    <x v="1"/>
    <x v="1"/>
    <n v="1"/>
    <s v="Ok"/>
    <n v="50"/>
    <x v="0"/>
    <x v="0"/>
    <s v="Senior"/>
    <s v="Completed"/>
    <n v="50"/>
    <n v="0"/>
    <x v="0"/>
    <n v="50"/>
    <n v="1"/>
  </r>
  <r>
    <n v="252"/>
    <x v="242"/>
    <x v="1"/>
    <x v="0"/>
    <s v="Alex Brown"/>
    <s v="USA"/>
    <s v="South"/>
    <x v="1"/>
    <x v="0"/>
    <x v="0"/>
    <n v="3"/>
    <s v="Ok"/>
    <n v="300"/>
    <x v="1"/>
    <x v="2"/>
    <s v="Mid"/>
    <s v="Pending"/>
    <n v="900"/>
    <n v="63"/>
    <x v="0"/>
    <n v="837"/>
    <n v="1"/>
  </r>
  <r>
    <n v="253"/>
    <x v="243"/>
    <x v="8"/>
    <x v="0"/>
    <s v="John Doe"/>
    <s v="USA"/>
    <s v="East"/>
    <x v="5"/>
    <x v="1"/>
    <x v="3"/>
    <n v="2"/>
    <s v="Ok"/>
    <n v="800"/>
    <x v="2"/>
    <x v="1"/>
    <s v="Junior"/>
    <s v="Completed"/>
    <n v="1600"/>
    <n v="64"/>
    <x v="2"/>
    <n v="1536"/>
    <n v="1"/>
  </r>
  <r>
    <n v="254"/>
    <x v="244"/>
    <x v="2"/>
    <x v="0"/>
    <s v="Susan Lee"/>
    <s v="USA"/>
    <s v="West"/>
    <x v="0"/>
    <x v="0"/>
    <x v="0"/>
    <n v="1"/>
    <s v="Ok"/>
    <n v="150"/>
    <x v="0"/>
    <x v="0"/>
    <s v="Senior"/>
    <s v="Completed"/>
    <n v="150"/>
    <n v="0"/>
    <x v="0"/>
    <n v="150"/>
    <n v="1"/>
  </r>
  <r>
    <n v="255"/>
    <x v="245"/>
    <x v="9"/>
    <x v="0"/>
    <s v="Mary Smith"/>
    <s v="USA"/>
    <s v="North"/>
    <x v="3"/>
    <x v="1"/>
    <x v="1"/>
    <m/>
    <s v="Missing Quantity"/>
    <n v="20"/>
    <x v="3"/>
    <x v="3"/>
    <s v="Senior"/>
    <s v="Cancelled"/>
    <m/>
    <m/>
    <x v="1"/>
    <m/>
    <n v="1"/>
  </r>
  <r>
    <n v="256"/>
    <x v="246"/>
    <x v="10"/>
    <x v="0"/>
    <s v="Alex Brown"/>
    <s v="USA"/>
    <s v="South"/>
    <x v="2"/>
    <x v="1"/>
    <x v="1"/>
    <n v="5"/>
    <s v="Ok"/>
    <n v="50"/>
    <x v="0"/>
    <x v="0"/>
    <s v="Senior"/>
    <s v="Pending"/>
    <n v="250"/>
    <n v="12.5"/>
    <x v="0"/>
    <n v="237.5"/>
    <n v="1"/>
  </r>
  <r>
    <n v="257"/>
    <x v="247"/>
    <x v="8"/>
    <x v="0"/>
    <s v="John Doe"/>
    <s v="USA"/>
    <s v="East"/>
    <x v="1"/>
    <x v="0"/>
    <x v="0"/>
    <n v="2"/>
    <s v="Ok"/>
    <n v="300"/>
    <x v="1"/>
    <x v="2"/>
    <s v="Mid"/>
    <s v="Completed"/>
    <n v="600"/>
    <n v="0"/>
    <x v="0"/>
    <n v="600"/>
    <n v="1"/>
  </r>
  <r>
    <n v="258"/>
    <x v="248"/>
    <x v="8"/>
    <x v="0"/>
    <s v="Susan Lee"/>
    <s v="USA"/>
    <s v="West"/>
    <x v="5"/>
    <x v="1"/>
    <x v="3"/>
    <n v="3"/>
    <s v="Ok"/>
    <n v="800"/>
    <x v="2"/>
    <x v="2"/>
    <s v="Junior"/>
    <s v="Completed"/>
    <n v="2400"/>
    <n v="168"/>
    <x v="3"/>
    <n v="2232"/>
    <n v="1"/>
  </r>
  <r>
    <n v="259"/>
    <x v="249"/>
    <x v="8"/>
    <x v="0"/>
    <s v="Mary Smith"/>
    <s v="USA"/>
    <s v="North"/>
    <x v="4"/>
    <x v="1"/>
    <x v="2"/>
    <n v="2"/>
    <s v="Ok"/>
    <n v="200"/>
    <x v="0"/>
    <x v="1"/>
    <s v="Senior"/>
    <s v="Pending"/>
    <n v="400"/>
    <n v="16"/>
    <x v="0"/>
    <n v="384"/>
    <n v="1"/>
  </r>
  <r>
    <n v="260"/>
    <x v="250"/>
    <x v="8"/>
    <x v="0"/>
    <s v="Alex Brown"/>
    <s v="USA"/>
    <s v="South"/>
    <x v="0"/>
    <x v="0"/>
    <x v="0"/>
    <n v="4"/>
    <s v="Ok"/>
    <n v="150"/>
    <x v="3"/>
    <x v="0"/>
    <s v="Senior"/>
    <s v="Completed"/>
    <n v="600"/>
    <n v="30"/>
    <x v="0"/>
    <n v="570"/>
    <n v="1"/>
  </r>
  <r>
    <n v="261"/>
    <x v="251"/>
    <x v="8"/>
    <x v="0"/>
    <s v="John Doe"/>
    <s v="USA"/>
    <s v="East"/>
    <x v="3"/>
    <x v="1"/>
    <x v="1"/>
    <n v="1"/>
    <s v="Ok"/>
    <n v="20"/>
    <x v="0"/>
    <x v="0"/>
    <s v="Senior"/>
    <s v="Completed"/>
    <n v="20"/>
    <n v="0"/>
    <x v="0"/>
    <n v="20"/>
    <n v="1"/>
  </r>
  <r>
    <n v="262"/>
    <x v="252"/>
    <x v="8"/>
    <x v="0"/>
    <s v="Susan Lee"/>
    <s v="USA"/>
    <s v="West"/>
    <x v="2"/>
    <x v="1"/>
    <x v="1"/>
    <n v="2"/>
    <s v="Ok"/>
    <n v="50"/>
    <x v="1"/>
    <x v="2"/>
    <s v="Mid"/>
    <s v="Completed"/>
    <n v="100"/>
    <n v="0"/>
    <x v="0"/>
    <n v="100"/>
    <n v="1"/>
  </r>
  <r>
    <n v="263"/>
    <x v="253"/>
    <x v="8"/>
    <x v="0"/>
    <s v="Mary Smith"/>
    <s v="USA"/>
    <s v="North"/>
    <x v="1"/>
    <x v="0"/>
    <x v="0"/>
    <n v="5"/>
    <s v="Ok"/>
    <n v="300"/>
    <x v="2"/>
    <x v="2"/>
    <s v="Junior"/>
    <s v="Pending"/>
    <n v="1500"/>
    <n v="105"/>
    <x v="2"/>
    <n v="1395"/>
    <n v="1"/>
  </r>
  <r>
    <n v="264"/>
    <x v="254"/>
    <x v="8"/>
    <x v="0"/>
    <s v="Alex Brown"/>
    <s v="USA"/>
    <s v="South"/>
    <x v="5"/>
    <x v="1"/>
    <x v="3"/>
    <n v="2"/>
    <s v="Ok"/>
    <n v="800"/>
    <x v="0"/>
    <x v="1"/>
    <s v="Senior"/>
    <s v="Completed"/>
    <n v="1600"/>
    <n v="64"/>
    <x v="2"/>
    <n v="1536"/>
    <n v="1"/>
  </r>
  <r>
    <n v="265"/>
    <x v="255"/>
    <x v="8"/>
    <x v="0"/>
    <s v="John Doe"/>
    <s v="USA"/>
    <s v="East"/>
    <x v="0"/>
    <x v="0"/>
    <x v="0"/>
    <n v="3"/>
    <s v="Ok"/>
    <n v="150"/>
    <x v="3"/>
    <x v="3"/>
    <s v="Senior"/>
    <s v="Completed"/>
    <n v="450"/>
    <n v="27"/>
    <x v="0"/>
    <n v="423"/>
    <n v="1"/>
  </r>
  <r>
    <n v="266"/>
    <x v="256"/>
    <x v="8"/>
    <x v="0"/>
    <s v="Susan Lee"/>
    <s v="USA"/>
    <s v="West"/>
    <x v="3"/>
    <x v="1"/>
    <x v="1"/>
    <m/>
    <s v="Missing Quantity"/>
    <n v="20"/>
    <x v="0"/>
    <x v="0"/>
    <s v="Senior"/>
    <s v="Pending"/>
    <m/>
    <m/>
    <x v="1"/>
    <m/>
    <n v="1"/>
  </r>
  <r>
    <n v="267"/>
    <x v="257"/>
    <x v="8"/>
    <x v="0"/>
    <s v="Mary Smith"/>
    <s v="USA"/>
    <s v="North"/>
    <x v="2"/>
    <x v="1"/>
    <x v="1"/>
    <n v="4"/>
    <s v="Ok"/>
    <n v="50"/>
    <x v="1"/>
    <x v="2"/>
    <s v="Mid"/>
    <s v="Completed"/>
    <n v="200"/>
    <n v="14"/>
    <x v="0"/>
    <n v="186"/>
    <n v="1"/>
  </r>
  <r>
    <n v="268"/>
    <x v="258"/>
    <x v="8"/>
    <x v="0"/>
    <s v="Alex Brown"/>
    <s v="USA"/>
    <s v="South"/>
    <x v="1"/>
    <x v="0"/>
    <x v="0"/>
    <n v="1"/>
    <s v="Ok"/>
    <n v="300"/>
    <x v="2"/>
    <x v="0"/>
    <s v="Junior"/>
    <s v="Cancelled"/>
    <n v="300"/>
    <n v="0"/>
    <x v="0"/>
    <n v="300"/>
    <n v="1"/>
  </r>
  <r>
    <n v="269"/>
    <x v="259"/>
    <x v="8"/>
    <x v="0"/>
    <s v="John Doe"/>
    <s v="USA"/>
    <s v="East"/>
    <x v="5"/>
    <x v="1"/>
    <x v="3"/>
    <n v="5"/>
    <s v="Ok"/>
    <n v="800"/>
    <x v="0"/>
    <x v="0"/>
    <s v="Senior"/>
    <s v="Completed"/>
    <n v="4000"/>
    <n v="200"/>
    <x v="3"/>
    <n v="3800"/>
    <n v="1"/>
  </r>
  <r>
    <n v="270"/>
    <x v="260"/>
    <x v="8"/>
    <x v="0"/>
    <s v="Susan Lee"/>
    <s v="USA"/>
    <s v="West"/>
    <x v="4"/>
    <x v="1"/>
    <x v="2"/>
    <n v="2"/>
    <s v="Ok"/>
    <n v="200"/>
    <x v="3"/>
    <x v="3"/>
    <s v="Senior"/>
    <s v="Pending"/>
    <n v="400"/>
    <n v="0"/>
    <x v="0"/>
    <n v="400"/>
    <n v="1"/>
  </r>
  <r>
    <n v="271"/>
    <x v="261"/>
    <x v="8"/>
    <x v="0"/>
    <s v="Mary Smith"/>
    <s v="USA"/>
    <s v="North"/>
    <x v="0"/>
    <x v="0"/>
    <x v="0"/>
    <n v="3"/>
    <s v="Ok"/>
    <n v="150"/>
    <x v="0"/>
    <x v="0"/>
    <s v="Senior"/>
    <s v="Completed"/>
    <n v="450"/>
    <n v="22.5"/>
    <x v="0"/>
    <n v="427.5"/>
    <n v="1"/>
  </r>
  <r>
    <n v="272"/>
    <x v="262"/>
    <x v="8"/>
    <x v="0"/>
    <s v="Alex Brown"/>
    <s v="USA"/>
    <s v="South"/>
    <x v="3"/>
    <x v="1"/>
    <x v="1"/>
    <n v="1"/>
    <s v="Ok"/>
    <n v="20"/>
    <x v="1"/>
    <x v="2"/>
    <s v="Mid"/>
    <s v="Completed"/>
    <n v="20"/>
    <n v="0"/>
    <x v="0"/>
    <n v="20"/>
    <n v="1"/>
  </r>
  <r>
    <n v="273"/>
    <x v="263"/>
    <x v="8"/>
    <x v="0"/>
    <s v="John Doe"/>
    <s v="USA"/>
    <s v="East"/>
    <x v="2"/>
    <x v="1"/>
    <x v="1"/>
    <n v="2"/>
    <s v="Ok"/>
    <n v="50"/>
    <x v="2"/>
    <x v="1"/>
    <s v="Junior"/>
    <s v="Pending"/>
    <n v="100"/>
    <n v="4"/>
    <x v="0"/>
    <n v="96"/>
    <n v="1"/>
  </r>
  <r>
    <n v="274"/>
    <x v="264"/>
    <x v="8"/>
    <x v="0"/>
    <s v="Susan Lee"/>
    <s v="USA"/>
    <s v="West"/>
    <x v="1"/>
    <x v="0"/>
    <x v="0"/>
    <n v="4"/>
    <s v="Ok"/>
    <n v="300"/>
    <x v="0"/>
    <x v="0"/>
    <s v="Senior"/>
    <s v="Completed"/>
    <n v="1200"/>
    <n v="60"/>
    <x v="2"/>
    <n v="1140"/>
    <n v="1"/>
  </r>
  <r>
    <n v="275"/>
    <x v="265"/>
    <x v="0"/>
    <x v="0"/>
    <s v="Mary Smith"/>
    <s v="USA"/>
    <s v="North"/>
    <x v="5"/>
    <x v="1"/>
    <x v="3"/>
    <m/>
    <s v="Missing Quantity"/>
    <n v="800"/>
    <x v="3"/>
    <x v="2"/>
    <s v="Senior"/>
    <s v="Cancelled"/>
    <m/>
    <m/>
    <x v="1"/>
    <m/>
    <n v="1"/>
  </r>
  <r>
    <n v="276"/>
    <x v="39"/>
    <x v="4"/>
    <x v="0"/>
    <s v="Alex Brown"/>
    <s v="USA"/>
    <s v="South"/>
    <x v="0"/>
    <x v="0"/>
    <x v="0"/>
    <n v="2"/>
    <s v="Ok"/>
    <n v="150"/>
    <x v="0"/>
    <x v="0"/>
    <s v="Senior"/>
    <s v="Completed"/>
    <n v="300"/>
    <n v="15"/>
    <x v="0"/>
    <n v="285"/>
    <n v="1"/>
  </r>
  <r>
    <n v="277"/>
    <x v="266"/>
    <x v="5"/>
    <x v="0"/>
    <s v="John Doe"/>
    <s v="USA"/>
    <s v="East"/>
    <x v="3"/>
    <x v="1"/>
    <x v="1"/>
    <n v="5"/>
    <s v="Ok"/>
    <n v="20"/>
    <x v="1"/>
    <x v="3"/>
    <s v="Mid"/>
    <s v="Pending"/>
    <n v="100"/>
    <n v="6"/>
    <x v="0"/>
    <n v="94"/>
    <n v="1"/>
  </r>
  <r>
    <n v="278"/>
    <x v="267"/>
    <x v="3"/>
    <x v="0"/>
    <s v="Susan Lee"/>
    <s v="USA"/>
    <s v="West"/>
    <x v="2"/>
    <x v="1"/>
    <x v="1"/>
    <n v="1"/>
    <s v="Ok"/>
    <n v="50"/>
    <x v="2"/>
    <x v="0"/>
    <s v="Junior"/>
    <s v="Completed"/>
    <n v="50"/>
    <n v="0"/>
    <x v="0"/>
    <n v="50"/>
    <n v="1"/>
  </r>
  <r>
    <n v="279"/>
    <x v="268"/>
    <x v="6"/>
    <x v="0"/>
    <s v="Mary Smith"/>
    <s v="USA"/>
    <s v="North"/>
    <x v="1"/>
    <x v="0"/>
    <x v="0"/>
    <n v="3"/>
    <s v="Ok"/>
    <n v="300"/>
    <x v="0"/>
    <x v="2"/>
    <s v="Senior"/>
    <s v="Pending"/>
    <n v="900"/>
    <n v="63"/>
    <x v="0"/>
    <n v="837"/>
    <n v="1"/>
  </r>
  <r>
    <n v="280"/>
    <x v="269"/>
    <x v="11"/>
    <x v="0"/>
    <s v="Alex Brown"/>
    <s v="USA"/>
    <s v="South"/>
    <x v="5"/>
    <x v="1"/>
    <x v="3"/>
    <n v="2"/>
    <s v="Ok"/>
    <n v="800"/>
    <x v="3"/>
    <x v="1"/>
    <s v="Senior"/>
    <s v="Completed"/>
    <n v="1600"/>
    <n v="64"/>
    <x v="2"/>
    <n v="1536"/>
    <n v="1"/>
  </r>
  <r>
    <n v="281"/>
    <x v="270"/>
    <x v="7"/>
    <x v="0"/>
    <s v="John Doe"/>
    <s v="USA"/>
    <s v="East"/>
    <x v="0"/>
    <x v="0"/>
    <x v="0"/>
    <n v="4"/>
    <s v="Ok"/>
    <n v="150"/>
    <x v="0"/>
    <x v="0"/>
    <s v="Senior"/>
    <s v="Completed"/>
    <n v="600"/>
    <n v="30"/>
    <x v="0"/>
    <n v="570"/>
    <n v="1"/>
  </r>
  <r>
    <n v="282"/>
    <x v="271"/>
    <x v="1"/>
    <x v="0"/>
    <s v="Susan Lee"/>
    <s v="USA"/>
    <s v="West"/>
    <x v="3"/>
    <x v="1"/>
    <x v="1"/>
    <n v="1"/>
    <s v="Ok"/>
    <n v="20"/>
    <x v="1"/>
    <x v="2"/>
    <s v="Mid"/>
    <s v="Cancelled"/>
    <n v="20"/>
    <n v="0"/>
    <x v="0"/>
    <n v="20"/>
    <n v="1"/>
  </r>
  <r>
    <n v="283"/>
    <x v="272"/>
    <x v="8"/>
    <x v="0"/>
    <s v="Mary Smith"/>
    <s v="USA"/>
    <s v="North"/>
    <x v="2"/>
    <x v="1"/>
    <x v="1"/>
    <n v="2"/>
    <s v="Ok"/>
    <n v="50"/>
    <x v="2"/>
    <x v="0"/>
    <s v="Junior"/>
    <s v="Pending"/>
    <n v="100"/>
    <n v="5"/>
    <x v="0"/>
    <n v="95"/>
    <n v="1"/>
  </r>
  <r>
    <n v="284"/>
    <x v="273"/>
    <x v="2"/>
    <x v="0"/>
    <s v="Alex Brown"/>
    <s v="USA"/>
    <s v="South"/>
    <x v="1"/>
    <x v="0"/>
    <x v="0"/>
    <n v="5"/>
    <s v="Ok"/>
    <n v="300"/>
    <x v="0"/>
    <x v="3"/>
    <s v="Senior"/>
    <s v="Completed"/>
    <n v="1500"/>
    <n v="90"/>
    <x v="2"/>
    <n v="1410"/>
    <n v="1"/>
  </r>
  <r>
    <n v="285"/>
    <x v="274"/>
    <x v="9"/>
    <x v="0"/>
    <s v="John Doe"/>
    <s v="USA"/>
    <s v="East"/>
    <x v="5"/>
    <x v="1"/>
    <x v="3"/>
    <n v="3"/>
    <s v="Ok"/>
    <n v="800"/>
    <x v="3"/>
    <x v="0"/>
    <s v="Senior"/>
    <s v="Completed"/>
    <n v="2400"/>
    <n v="120"/>
    <x v="3"/>
    <n v="2280"/>
    <n v="1"/>
  </r>
  <r>
    <n v="286"/>
    <x v="275"/>
    <x v="10"/>
    <x v="0"/>
    <s v="Susan Lee"/>
    <s v="USA"/>
    <s v="West"/>
    <x v="0"/>
    <x v="0"/>
    <x v="0"/>
    <m/>
    <s v="Missing Quantity"/>
    <n v="150"/>
    <x v="0"/>
    <x v="2"/>
    <s v="Senior"/>
    <s v="Pending"/>
    <m/>
    <m/>
    <x v="1"/>
    <m/>
    <n v="1"/>
  </r>
  <r>
    <n v="287"/>
    <x v="276"/>
    <x v="2"/>
    <x v="0"/>
    <s v="Mary Smith"/>
    <s v="USA"/>
    <s v="North"/>
    <x v="3"/>
    <x v="1"/>
    <x v="1"/>
    <n v="2"/>
    <s v="Ok"/>
    <n v="20"/>
    <x v="1"/>
    <x v="1"/>
    <s v="Mid"/>
    <s v="Completed"/>
    <n v="40"/>
    <n v="1.6"/>
    <x v="0"/>
    <n v="38.4"/>
    <n v="1"/>
  </r>
  <r>
    <n v="288"/>
    <x v="277"/>
    <x v="2"/>
    <x v="0"/>
    <s v="Alex Brown"/>
    <s v="USA"/>
    <s v="South"/>
    <x v="2"/>
    <x v="1"/>
    <x v="1"/>
    <n v="1"/>
    <s v="Ok"/>
    <n v="50"/>
    <x v="2"/>
    <x v="0"/>
    <s v="Junior"/>
    <s v="Completed"/>
    <n v="50"/>
    <n v="0"/>
    <x v="0"/>
    <n v="50"/>
    <n v="1"/>
  </r>
  <r>
    <n v="289"/>
    <x v="278"/>
    <x v="2"/>
    <x v="0"/>
    <s v="John Doe"/>
    <s v="USA"/>
    <s v="East"/>
    <x v="1"/>
    <x v="0"/>
    <x v="0"/>
    <n v="4"/>
    <s v="Ok"/>
    <n v="300"/>
    <x v="0"/>
    <x v="2"/>
    <s v="Senior"/>
    <s v="Pending"/>
    <n v="1200"/>
    <n v="84"/>
    <x v="2"/>
    <n v="1116"/>
    <n v="1"/>
  </r>
  <r>
    <n v="290"/>
    <x v="279"/>
    <x v="2"/>
    <x v="0"/>
    <s v="Susan Lee"/>
    <s v="USA"/>
    <s v="West"/>
    <x v="5"/>
    <x v="1"/>
    <x v="3"/>
    <n v="2"/>
    <s v="Ok"/>
    <n v="800"/>
    <x v="3"/>
    <x v="0"/>
    <s v="Senior"/>
    <s v="Completed"/>
    <n v="1600"/>
    <n v="80"/>
    <x v="2"/>
    <n v="1520"/>
    <n v="1"/>
  </r>
  <r>
    <n v="291"/>
    <x v="280"/>
    <x v="2"/>
    <x v="0"/>
    <s v="Mary Smith"/>
    <s v="USA"/>
    <s v="North"/>
    <x v="4"/>
    <x v="1"/>
    <x v="2"/>
    <n v="5"/>
    <s v="Ok"/>
    <n v="200"/>
    <x v="0"/>
    <x v="0"/>
    <s v="Senior"/>
    <s v="Cancelled"/>
    <n v="1000"/>
    <n v="50"/>
    <x v="2"/>
    <n v="950"/>
    <n v="1"/>
  </r>
  <r>
    <n v="292"/>
    <x v="281"/>
    <x v="2"/>
    <x v="0"/>
    <s v="Alex Brown"/>
    <s v="USA"/>
    <s v="South"/>
    <x v="0"/>
    <x v="0"/>
    <x v="0"/>
    <n v="3"/>
    <s v="Ok"/>
    <n v="150"/>
    <x v="1"/>
    <x v="2"/>
    <s v="Mid"/>
    <s v="Completed"/>
    <n v="450"/>
    <n v="31.5"/>
    <x v="0"/>
    <n v="418.5"/>
    <n v="1"/>
  </r>
  <r>
    <n v="293"/>
    <x v="282"/>
    <x v="2"/>
    <x v="0"/>
    <s v="John Doe"/>
    <s v="USA"/>
    <s v="East"/>
    <x v="3"/>
    <x v="1"/>
    <x v="1"/>
    <n v="1"/>
    <s v="Ok"/>
    <n v="20"/>
    <x v="2"/>
    <x v="1"/>
    <s v="Junior"/>
    <s v="Pending"/>
    <n v="20"/>
    <n v="0"/>
    <x v="0"/>
    <n v="20"/>
    <n v="1"/>
  </r>
  <r>
    <n v="294"/>
    <x v="283"/>
    <x v="2"/>
    <x v="0"/>
    <s v="Susan Lee"/>
    <s v="USA"/>
    <s v="West"/>
    <x v="2"/>
    <x v="1"/>
    <x v="1"/>
    <n v="2"/>
    <s v="Ok"/>
    <n v="50"/>
    <x v="0"/>
    <x v="0"/>
    <s v="Senior"/>
    <s v="Completed"/>
    <n v="100"/>
    <n v="5"/>
    <x v="0"/>
    <n v="95"/>
    <n v="1"/>
  </r>
  <r>
    <n v="295"/>
    <x v="284"/>
    <x v="2"/>
    <x v="0"/>
    <s v="Mary Smith"/>
    <s v="USA"/>
    <s v="North"/>
    <x v="1"/>
    <x v="0"/>
    <x v="0"/>
    <m/>
    <s v="Missing Quantity"/>
    <n v="300"/>
    <x v="3"/>
    <x v="3"/>
    <s v="Senior"/>
    <s v="Completed"/>
    <m/>
    <m/>
    <x v="1"/>
    <m/>
    <n v="1"/>
  </r>
  <r>
    <n v="296"/>
    <x v="285"/>
    <x v="2"/>
    <x v="0"/>
    <s v="Alex Brown"/>
    <s v="USA"/>
    <s v="South"/>
    <x v="5"/>
    <x v="1"/>
    <x v="3"/>
    <n v="4"/>
    <s v="Ok"/>
    <n v="800"/>
    <x v="0"/>
    <x v="0"/>
    <s v="Senior"/>
    <s v="Pending"/>
    <n v="3200"/>
    <n v="160"/>
    <x v="3"/>
    <n v="3040"/>
    <n v="1"/>
  </r>
  <r>
    <n v="297"/>
    <x v="286"/>
    <x v="2"/>
    <x v="0"/>
    <s v="John Doe"/>
    <s v="USA"/>
    <s v="East"/>
    <x v="0"/>
    <x v="0"/>
    <x v="0"/>
    <n v="2"/>
    <s v="Ok"/>
    <n v="150"/>
    <x v="1"/>
    <x v="2"/>
    <s v="Mid"/>
    <s v="Completed"/>
    <n v="300"/>
    <n v="0"/>
    <x v="0"/>
    <n v="300"/>
    <n v="1"/>
  </r>
  <r>
    <n v="298"/>
    <x v="287"/>
    <x v="2"/>
    <x v="0"/>
    <s v="Susan Lee"/>
    <s v="USA"/>
    <s v="West"/>
    <x v="3"/>
    <x v="1"/>
    <x v="1"/>
    <n v="5"/>
    <s v="Ok"/>
    <n v="20"/>
    <x v="2"/>
    <x v="2"/>
    <s v="Junior"/>
    <s v="Cancelled"/>
    <n v="100"/>
    <n v="7"/>
    <x v="0"/>
    <n v="93"/>
    <n v="1"/>
  </r>
  <r>
    <n v="299"/>
    <x v="288"/>
    <x v="2"/>
    <x v="0"/>
    <s v="Mary Smith"/>
    <s v="USA"/>
    <s v="North"/>
    <x v="2"/>
    <x v="1"/>
    <x v="1"/>
    <n v="1"/>
    <s v="Ok"/>
    <n v="50"/>
    <x v="0"/>
    <x v="1"/>
    <s v="Senior"/>
    <s v="Completed"/>
    <n v="50"/>
    <n v="0"/>
    <x v="0"/>
    <n v="50"/>
    <n v="1"/>
  </r>
  <r>
    <n v="300"/>
    <x v="289"/>
    <x v="2"/>
    <x v="0"/>
    <s v="Alex Brown"/>
    <s v="USA"/>
    <s v="South"/>
    <x v="1"/>
    <x v="0"/>
    <x v="0"/>
    <n v="3"/>
    <s v="Ok"/>
    <n v="300"/>
    <x v="3"/>
    <x v="0"/>
    <s v="Senior"/>
    <s v="Pending"/>
    <n v="900"/>
    <n v="45"/>
    <x v="0"/>
    <n v="855"/>
    <n v="1"/>
  </r>
  <r>
    <n v="301"/>
    <x v="290"/>
    <x v="2"/>
    <x v="0"/>
    <s v="John Doe"/>
    <s v="USA"/>
    <s v="East"/>
    <x v="5"/>
    <x v="1"/>
    <x v="3"/>
    <n v="2"/>
    <s v="Ok"/>
    <n v="800"/>
    <x v="0"/>
    <x v="0"/>
    <s v="Senior"/>
    <s v="Completed"/>
    <n v="1600"/>
    <n v="80"/>
    <x v="2"/>
    <n v="1520"/>
    <n v="1"/>
  </r>
  <r>
    <n v="302"/>
    <x v="291"/>
    <x v="2"/>
    <x v="0"/>
    <s v="Susan Lee"/>
    <s v="USA"/>
    <s v="West"/>
    <x v="0"/>
    <x v="0"/>
    <x v="0"/>
    <n v="3"/>
    <s v="Ok"/>
    <n v="150"/>
    <x v="1"/>
    <x v="2"/>
    <s v="Mid"/>
    <s v="Pending"/>
    <n v="450"/>
    <n v="31.5"/>
    <x v="0"/>
    <n v="418.5"/>
    <n v="1"/>
  </r>
  <r>
    <n v="303"/>
    <x v="292"/>
    <x v="2"/>
    <x v="0"/>
    <s v="Mary Smith"/>
    <s v="USA"/>
    <s v="North"/>
    <x v="3"/>
    <x v="1"/>
    <x v="1"/>
    <n v="1"/>
    <s v="Ok"/>
    <n v="20"/>
    <x v="2"/>
    <x v="1"/>
    <s v="Junior"/>
    <s v="Completed"/>
    <n v="20"/>
    <n v="0"/>
    <x v="0"/>
    <n v="20"/>
    <n v="1"/>
  </r>
  <r>
    <n v="304"/>
    <x v="293"/>
    <x v="2"/>
    <x v="0"/>
    <s v="Alex Brown"/>
    <s v="USA"/>
    <s v="South"/>
    <x v="2"/>
    <x v="1"/>
    <x v="1"/>
    <n v="4"/>
    <s v="Ok"/>
    <n v="50"/>
    <x v="0"/>
    <x v="0"/>
    <s v="Senior"/>
    <s v="Completed"/>
    <n v="200"/>
    <n v="10"/>
    <x v="0"/>
    <n v="190"/>
    <n v="1"/>
  </r>
  <r>
    <n v="305"/>
    <x v="294"/>
    <x v="2"/>
    <x v="0"/>
    <s v="John Doe"/>
    <s v="USA"/>
    <s v="East"/>
    <x v="1"/>
    <x v="0"/>
    <x v="0"/>
    <n v="2"/>
    <s v="Ok"/>
    <n v="300"/>
    <x v="3"/>
    <x v="3"/>
    <s v="Senior"/>
    <s v="Pending"/>
    <n v="600"/>
    <n v="0"/>
    <x v="0"/>
    <n v="600"/>
    <n v="1"/>
  </r>
  <r>
    <n v="306"/>
    <x v="15"/>
    <x v="0"/>
    <x v="0"/>
    <s v="Susan Lee"/>
    <s v="USA"/>
    <s v="West"/>
    <x v="5"/>
    <x v="1"/>
    <x v="3"/>
    <n v="3"/>
    <s v="Ok"/>
    <n v="800"/>
    <x v="0"/>
    <x v="0"/>
    <s v="Senior"/>
    <s v="Completed"/>
    <n v="2400"/>
    <n v="120"/>
    <x v="3"/>
    <n v="2280"/>
    <n v="1"/>
  </r>
  <r>
    <n v="307"/>
    <x v="295"/>
    <x v="4"/>
    <x v="0"/>
    <s v="Mary Smith"/>
    <s v="USA"/>
    <s v="North"/>
    <x v="4"/>
    <x v="1"/>
    <x v="2"/>
    <n v="2"/>
    <s v="Ok"/>
    <n v="200"/>
    <x v="1"/>
    <x v="2"/>
    <s v="Mid"/>
    <s v="Cancelled"/>
    <n v="400"/>
    <n v="0"/>
    <x v="0"/>
    <n v="400"/>
    <n v="1"/>
  </r>
  <r>
    <n v="308"/>
    <x v="296"/>
    <x v="5"/>
    <x v="0"/>
    <s v="Alex Brown"/>
    <s v="USA"/>
    <s v="South"/>
    <x v="0"/>
    <x v="0"/>
    <x v="0"/>
    <n v="1"/>
    <s v="Ok"/>
    <n v="150"/>
    <x v="2"/>
    <x v="0"/>
    <s v="Junior"/>
    <s v="Completed"/>
    <n v="150"/>
    <n v="0"/>
    <x v="0"/>
    <n v="150"/>
    <n v="1"/>
  </r>
  <r>
    <n v="309"/>
    <x v="98"/>
    <x v="3"/>
    <x v="0"/>
    <s v="John Doe"/>
    <s v="USA"/>
    <s v="East"/>
    <x v="3"/>
    <x v="1"/>
    <x v="1"/>
    <n v="5"/>
    <s v="Ok"/>
    <n v="20"/>
    <x v="0"/>
    <x v="1"/>
    <s v="Senior"/>
    <s v="Pending"/>
    <n v="100"/>
    <n v="4"/>
    <x v="0"/>
    <n v="96"/>
    <n v="1"/>
  </r>
  <r>
    <n v="310"/>
    <x v="297"/>
    <x v="6"/>
    <x v="0"/>
    <s v="Susan Lee"/>
    <s v="USA"/>
    <s v="West"/>
    <x v="2"/>
    <x v="1"/>
    <x v="1"/>
    <n v="2"/>
    <s v="Ok"/>
    <n v="50"/>
    <x v="3"/>
    <x v="3"/>
    <s v="Senior"/>
    <s v="Completed"/>
    <n v="100"/>
    <n v="0"/>
    <x v="0"/>
    <n v="100"/>
    <n v="1"/>
  </r>
  <r>
    <n v="311"/>
    <x v="298"/>
    <x v="11"/>
    <x v="0"/>
    <s v="Mary Smith"/>
    <s v="USA"/>
    <s v="North"/>
    <x v="1"/>
    <x v="0"/>
    <x v="0"/>
    <n v="3"/>
    <s v="Ok"/>
    <n v="300"/>
    <x v="0"/>
    <x v="0"/>
    <s v="Senior"/>
    <s v="Pending"/>
    <n v="900"/>
    <n v="45"/>
    <x v="0"/>
    <n v="855"/>
    <n v="1"/>
  </r>
  <r>
    <n v="312"/>
    <x v="299"/>
    <x v="7"/>
    <x v="0"/>
    <s v="Alex Brown"/>
    <s v="USA"/>
    <s v="South"/>
    <x v="5"/>
    <x v="1"/>
    <x v="3"/>
    <n v="1"/>
    <s v="Ok"/>
    <n v="800"/>
    <x v="1"/>
    <x v="2"/>
    <s v="Mid"/>
    <s v="Completed"/>
    <n v="800"/>
    <n v="0"/>
    <x v="0"/>
    <n v="800"/>
    <n v="1"/>
  </r>
  <r>
    <n v="313"/>
    <x v="300"/>
    <x v="1"/>
    <x v="0"/>
    <s v="John Doe"/>
    <s v="USA"/>
    <s v="East"/>
    <x v="0"/>
    <x v="0"/>
    <x v="0"/>
    <n v="2"/>
    <s v="Ok"/>
    <n v="150"/>
    <x v="2"/>
    <x v="0"/>
    <s v="Junior"/>
    <s v="Completed"/>
    <n v="300"/>
    <n v="15"/>
    <x v="0"/>
    <n v="285"/>
    <n v="1"/>
  </r>
  <r>
    <n v="314"/>
    <x v="301"/>
    <x v="8"/>
    <x v="0"/>
    <s v="Susan Lee"/>
    <s v="USA"/>
    <s v="West"/>
    <x v="3"/>
    <x v="1"/>
    <x v="1"/>
    <n v="4"/>
    <s v="Ok"/>
    <n v="20"/>
    <x v="0"/>
    <x v="0"/>
    <s v="Senior"/>
    <s v="Pending"/>
    <n v="80"/>
    <n v="4"/>
    <x v="0"/>
    <n v="76"/>
    <n v="1"/>
  </r>
  <r>
    <n v="315"/>
    <x v="302"/>
    <x v="2"/>
    <x v="0"/>
    <s v="Mary Smith"/>
    <s v="USA"/>
    <s v="North"/>
    <x v="2"/>
    <x v="1"/>
    <x v="1"/>
    <n v="1"/>
    <s v="Ok"/>
    <n v="50"/>
    <x v="3"/>
    <x v="1"/>
    <s v="Senior"/>
    <s v="Completed"/>
    <n v="50"/>
    <n v="0"/>
    <x v="0"/>
    <n v="50"/>
    <n v="1"/>
  </r>
  <r>
    <n v="316"/>
    <x v="303"/>
    <x v="9"/>
    <x v="0"/>
    <s v="Alex Brown"/>
    <s v="USA"/>
    <s v="South"/>
    <x v="1"/>
    <x v="0"/>
    <x v="0"/>
    <n v="5"/>
    <s v="Ok"/>
    <n v="300"/>
    <x v="0"/>
    <x v="3"/>
    <s v="Senior"/>
    <s v="Completed"/>
    <n v="1500"/>
    <n v="90"/>
    <x v="2"/>
    <n v="1410"/>
    <n v="1"/>
  </r>
  <r>
    <n v="317"/>
    <x v="304"/>
    <x v="10"/>
    <x v="0"/>
    <s v="John Doe"/>
    <s v="USA"/>
    <s v="East"/>
    <x v="5"/>
    <x v="1"/>
    <x v="3"/>
    <n v="2"/>
    <s v="Ok"/>
    <n v="800"/>
    <x v="1"/>
    <x v="0"/>
    <s v="Mid"/>
    <s v="Pending"/>
    <n v="1600"/>
    <n v="80"/>
    <x v="2"/>
    <n v="1520"/>
    <n v="1"/>
  </r>
  <r>
    <n v="318"/>
    <x v="305"/>
    <x v="9"/>
    <x v="0"/>
    <s v="Susan Lee"/>
    <s v="USA"/>
    <s v="West"/>
    <x v="0"/>
    <x v="0"/>
    <x v="0"/>
    <n v="3"/>
    <s v="Ok"/>
    <n v="150"/>
    <x v="2"/>
    <x v="2"/>
    <s v="Junior"/>
    <s v="Completed"/>
    <n v="450"/>
    <n v="31.5"/>
    <x v="0"/>
    <n v="418.5"/>
    <n v="1"/>
  </r>
  <r>
    <n v="319"/>
    <x v="306"/>
    <x v="9"/>
    <x v="0"/>
    <s v="Mary Smith"/>
    <s v="USA"/>
    <s v="North"/>
    <x v="3"/>
    <x v="1"/>
    <x v="1"/>
    <m/>
    <s v="Missing Quantity"/>
    <n v="20"/>
    <x v="0"/>
    <x v="0"/>
    <s v="Senior"/>
    <s v="Completed"/>
    <m/>
    <m/>
    <x v="1"/>
    <m/>
    <n v="1"/>
  </r>
  <r>
    <n v="320"/>
    <x v="307"/>
    <x v="9"/>
    <x v="0"/>
    <s v="Alex Brown"/>
    <s v="USA"/>
    <s v="South"/>
    <x v="2"/>
    <x v="1"/>
    <x v="1"/>
    <n v="2"/>
    <s v="Ok"/>
    <n v="50"/>
    <x v="3"/>
    <x v="0"/>
    <s v="Senior"/>
    <s v="Pending"/>
    <n v="100"/>
    <n v="5"/>
    <x v="0"/>
    <n v="95"/>
    <n v="1"/>
  </r>
  <r>
    <n v="321"/>
    <x v="308"/>
    <x v="9"/>
    <x v="0"/>
    <s v="John Doe"/>
    <s v="USA"/>
    <s v="East"/>
    <x v="1"/>
    <x v="0"/>
    <x v="0"/>
    <n v="3"/>
    <s v="Ok"/>
    <n v="300"/>
    <x v="0"/>
    <x v="1"/>
    <s v="Senior"/>
    <s v="Completed"/>
    <n v="900"/>
    <n v="36"/>
    <x v="0"/>
    <n v="864"/>
    <n v="1"/>
  </r>
  <r>
    <n v="322"/>
    <x v="309"/>
    <x v="9"/>
    <x v="0"/>
    <s v="Susan Lee"/>
    <s v="USA"/>
    <s v="West"/>
    <x v="5"/>
    <x v="1"/>
    <x v="3"/>
    <n v="1"/>
    <s v="Ok"/>
    <n v="800"/>
    <x v="1"/>
    <x v="3"/>
    <s v="Mid"/>
    <s v="Completed"/>
    <n v="800"/>
    <n v="0"/>
    <x v="0"/>
    <n v="800"/>
    <n v="1"/>
  </r>
  <r>
    <n v="323"/>
    <x v="310"/>
    <x v="9"/>
    <x v="0"/>
    <s v="Mary Smith"/>
    <s v="USA"/>
    <s v="North"/>
    <x v="0"/>
    <x v="0"/>
    <x v="0"/>
    <n v="4"/>
    <s v="Ok"/>
    <n v="150"/>
    <x v="2"/>
    <x v="0"/>
    <s v="Junior"/>
    <s v="Pending"/>
    <n v="600"/>
    <n v="30"/>
    <x v="0"/>
    <n v="570"/>
    <n v="1"/>
  </r>
  <r>
    <n v="324"/>
    <x v="311"/>
    <x v="9"/>
    <x v="0"/>
    <s v="Alex Brown"/>
    <s v="USA"/>
    <s v="South"/>
    <x v="3"/>
    <x v="1"/>
    <x v="1"/>
    <n v="2"/>
    <s v="Ok"/>
    <n v="20"/>
    <x v="0"/>
    <x v="0"/>
    <s v="Senior"/>
    <s v="Completed"/>
    <n v="40"/>
    <n v="2"/>
    <x v="0"/>
    <n v="38"/>
    <n v="1"/>
  </r>
  <r>
    <n v="325"/>
    <x v="312"/>
    <x v="9"/>
    <x v="0"/>
    <s v="John Doe"/>
    <s v="USA"/>
    <s v="East"/>
    <x v="2"/>
    <x v="1"/>
    <x v="1"/>
    <n v="5"/>
    <s v="Ok"/>
    <n v="50"/>
    <x v="3"/>
    <x v="2"/>
    <s v="Senior"/>
    <s v="Completed"/>
    <n v="250"/>
    <n v="17.5"/>
    <x v="0"/>
    <n v="232.5"/>
    <n v="1"/>
  </r>
  <r>
    <n v="326"/>
    <x v="313"/>
    <x v="9"/>
    <x v="0"/>
    <s v="Susan Lee"/>
    <s v="USA"/>
    <s v="West"/>
    <x v="1"/>
    <x v="0"/>
    <x v="0"/>
    <m/>
    <s v="Missing Quantity"/>
    <n v="300"/>
    <x v="0"/>
    <x v="1"/>
    <s v="Senior"/>
    <s v="Pending"/>
    <m/>
    <m/>
    <x v="1"/>
    <m/>
    <n v="1"/>
  </r>
  <r>
    <n v="327"/>
    <x v="314"/>
    <x v="9"/>
    <x v="0"/>
    <s v="Mary Smith"/>
    <s v="USA"/>
    <s v="North"/>
    <x v="5"/>
    <x v="1"/>
    <x v="3"/>
    <n v="2"/>
    <s v="Ok"/>
    <n v="800"/>
    <x v="1"/>
    <x v="3"/>
    <s v="Mid"/>
    <s v="Completed"/>
    <n v="1600"/>
    <n v="0"/>
    <x v="2"/>
    <n v="1600"/>
    <n v="1"/>
  </r>
  <r>
    <n v="328"/>
    <x v="315"/>
    <x v="9"/>
    <x v="0"/>
    <s v="Alex Brown"/>
    <s v="USA"/>
    <s v="South"/>
    <x v="0"/>
    <x v="0"/>
    <x v="0"/>
    <n v="1"/>
    <s v="Ok"/>
    <n v="150"/>
    <x v="2"/>
    <x v="0"/>
    <s v="Junior"/>
    <s v="Completed"/>
    <n v="150"/>
    <n v="0"/>
    <x v="0"/>
    <n v="150"/>
    <n v="1"/>
  </r>
  <r>
    <n v="329"/>
    <x v="316"/>
    <x v="9"/>
    <x v="0"/>
    <s v="John Doe"/>
    <s v="USA"/>
    <s v="East"/>
    <x v="3"/>
    <x v="1"/>
    <x v="1"/>
    <n v="3"/>
    <s v="Ok"/>
    <n v="20"/>
    <x v="0"/>
    <x v="0"/>
    <s v="Senior"/>
    <s v="Pending"/>
    <n v="60"/>
    <n v="3"/>
    <x v="0"/>
    <n v="57"/>
    <n v="1"/>
  </r>
  <r>
    <n v="330"/>
    <x v="317"/>
    <x v="9"/>
    <x v="0"/>
    <s v="Susan Lee"/>
    <s v="USA"/>
    <s v="West"/>
    <x v="2"/>
    <x v="1"/>
    <x v="1"/>
    <n v="2"/>
    <s v="Ok"/>
    <n v="50"/>
    <x v="3"/>
    <x v="1"/>
    <s v="Senior"/>
    <s v="Completed"/>
    <n v="100"/>
    <n v="4"/>
    <x v="0"/>
    <n v="96"/>
    <n v="1"/>
  </r>
  <r>
    <n v="331"/>
    <x v="318"/>
    <x v="9"/>
    <x v="0"/>
    <s v="Mary Smith"/>
    <s v="USA"/>
    <s v="North"/>
    <x v="1"/>
    <x v="0"/>
    <x v="0"/>
    <n v="4"/>
    <s v="Ok"/>
    <n v="300"/>
    <x v="0"/>
    <x v="3"/>
    <s v="Senior"/>
    <s v="Completed"/>
    <n v="1200"/>
    <n v="72"/>
    <x v="2"/>
    <n v="1128"/>
    <n v="1"/>
  </r>
  <r>
    <n v="332"/>
    <x v="319"/>
    <x v="9"/>
    <x v="0"/>
    <s v="Alex Brown"/>
    <s v="USA"/>
    <s v="South"/>
    <x v="5"/>
    <x v="1"/>
    <x v="3"/>
    <m/>
    <s v="Missing Quantity"/>
    <n v="800"/>
    <x v="1"/>
    <x v="0"/>
    <s v="Mid"/>
    <s v="Pending"/>
    <m/>
    <m/>
    <x v="1"/>
    <m/>
    <n v="1"/>
  </r>
  <r>
    <n v="333"/>
    <x v="320"/>
    <x v="9"/>
    <x v="0"/>
    <s v="John Doe"/>
    <s v="USA"/>
    <s v="East"/>
    <x v="0"/>
    <x v="0"/>
    <x v="0"/>
    <n v="2"/>
    <s v="Ok"/>
    <n v="150"/>
    <x v="2"/>
    <x v="2"/>
    <s v="Junior"/>
    <s v="Completed"/>
    <n v="300"/>
    <n v="0"/>
    <x v="0"/>
    <n v="300"/>
    <n v="1"/>
  </r>
  <r>
    <n v="334"/>
    <x v="321"/>
    <x v="9"/>
    <x v="0"/>
    <s v="Susan Lee"/>
    <s v="USA"/>
    <s v="West"/>
    <x v="3"/>
    <x v="1"/>
    <x v="1"/>
    <n v="1"/>
    <s v="Ok"/>
    <n v="20"/>
    <x v="0"/>
    <x v="0"/>
    <s v="Senior"/>
    <s v="Completed"/>
    <n v="20"/>
    <n v="0"/>
    <x v="0"/>
    <n v="20"/>
    <n v="1"/>
  </r>
  <r>
    <n v="335"/>
    <x v="322"/>
    <x v="9"/>
    <x v="0"/>
    <s v="Mary Smith"/>
    <s v="USA"/>
    <s v="North"/>
    <x v="2"/>
    <x v="1"/>
    <x v="1"/>
    <n v="5"/>
    <s v="Ok"/>
    <n v="50"/>
    <x v="3"/>
    <x v="0"/>
    <s v="Senior"/>
    <s v="Pending"/>
    <n v="250"/>
    <n v="12.5"/>
    <x v="0"/>
    <n v="237.5"/>
    <n v="1"/>
  </r>
  <r>
    <n v="336"/>
    <x v="5"/>
    <x v="0"/>
    <x v="0"/>
    <s v="Alex Brown"/>
    <s v="USA"/>
    <s v="South"/>
    <x v="1"/>
    <x v="0"/>
    <x v="0"/>
    <n v="3"/>
    <s v="Ok"/>
    <n v="300"/>
    <x v="0"/>
    <x v="1"/>
    <s v="Senior"/>
    <s v="Completed"/>
    <n v="900"/>
    <n v="36"/>
    <x v="0"/>
    <n v="864"/>
    <n v="1"/>
  </r>
  <r>
    <n v="337"/>
    <x v="323"/>
    <x v="4"/>
    <x v="0"/>
    <s v="John Doe"/>
    <s v="USA"/>
    <s v="East"/>
    <x v="5"/>
    <x v="1"/>
    <x v="3"/>
    <n v="2"/>
    <s v="Ok"/>
    <n v="800"/>
    <x v="1"/>
    <x v="3"/>
    <s v="Mid"/>
    <s v="Completed"/>
    <n v="1600"/>
    <n v="0"/>
    <x v="2"/>
    <n v="1600"/>
    <n v="1"/>
  </r>
  <r>
    <n v="338"/>
    <x v="324"/>
    <x v="5"/>
    <x v="0"/>
    <s v="Susan Lee"/>
    <s v="USA"/>
    <s v="West"/>
    <x v="0"/>
    <x v="0"/>
    <x v="0"/>
    <n v="4"/>
    <s v="Ok"/>
    <n v="150"/>
    <x v="2"/>
    <x v="0"/>
    <s v="Junior"/>
    <s v="Pending"/>
    <n v="600"/>
    <n v="30"/>
    <x v="0"/>
    <n v="570"/>
    <n v="1"/>
  </r>
  <r>
    <n v="339"/>
    <x v="325"/>
    <x v="3"/>
    <x v="0"/>
    <s v="Mary Smith"/>
    <s v="USA"/>
    <s v="North"/>
    <x v="3"/>
    <x v="1"/>
    <x v="1"/>
    <n v="2"/>
    <s v="Ok"/>
    <n v="20"/>
    <x v="0"/>
    <x v="0"/>
    <s v="Senior"/>
    <s v="Completed"/>
    <n v="40"/>
    <n v="2"/>
    <x v="0"/>
    <n v="38"/>
    <n v="1"/>
  </r>
  <r>
    <n v="340"/>
    <x v="326"/>
    <x v="6"/>
    <x v="0"/>
    <s v="Alex Brown"/>
    <s v="USA"/>
    <s v="South"/>
    <x v="2"/>
    <x v="1"/>
    <x v="1"/>
    <n v="1"/>
    <s v="Ok"/>
    <n v="50"/>
    <x v="3"/>
    <x v="2"/>
    <s v="Senior"/>
    <s v="Completed"/>
    <n v="50"/>
    <n v="0"/>
    <x v="0"/>
    <n v="50"/>
    <n v="1"/>
  </r>
  <r>
    <n v="341"/>
    <x v="327"/>
    <x v="11"/>
    <x v="0"/>
    <s v="John Doe"/>
    <s v="USA"/>
    <s v="East"/>
    <x v="1"/>
    <x v="0"/>
    <x v="0"/>
    <n v="5"/>
    <s v="Ok"/>
    <n v="300"/>
    <x v="0"/>
    <x v="1"/>
    <s v="Senior"/>
    <s v="Pending"/>
    <n v="1500"/>
    <n v="60"/>
    <x v="2"/>
    <n v="1440"/>
    <n v="1"/>
  </r>
  <r>
    <n v="342"/>
    <x v="328"/>
    <x v="7"/>
    <x v="0"/>
    <s v="Susan Lee"/>
    <s v="USA"/>
    <s v="West"/>
    <x v="5"/>
    <x v="1"/>
    <x v="3"/>
    <n v="3"/>
    <s v="Ok"/>
    <n v="800"/>
    <x v="1"/>
    <x v="3"/>
    <s v="Mid"/>
    <s v="Completed"/>
    <n v="2400"/>
    <n v="144"/>
    <x v="3"/>
    <n v="2256"/>
    <n v="1"/>
  </r>
  <r>
    <n v="343"/>
    <x v="329"/>
    <x v="1"/>
    <x v="0"/>
    <s v="Mary Smith"/>
    <s v="USA"/>
    <s v="North"/>
    <x v="0"/>
    <x v="0"/>
    <x v="0"/>
    <n v="2"/>
    <s v="Ok"/>
    <n v="150"/>
    <x v="2"/>
    <x v="0"/>
    <s v="Junior"/>
    <s v="Completed"/>
    <n v="300"/>
    <n v="15"/>
    <x v="0"/>
    <n v="285"/>
    <n v="1"/>
  </r>
  <r>
    <n v="344"/>
    <x v="330"/>
    <x v="8"/>
    <x v="0"/>
    <s v="Alex Brown"/>
    <s v="USA"/>
    <s v="South"/>
    <x v="3"/>
    <x v="1"/>
    <x v="1"/>
    <n v="4"/>
    <s v="Ok"/>
    <n v="20"/>
    <x v="0"/>
    <x v="0"/>
    <s v="Senior"/>
    <s v="Pending"/>
    <n v="80"/>
    <n v="4"/>
    <x v="0"/>
    <n v="76"/>
    <n v="1"/>
  </r>
  <r>
    <n v="345"/>
    <x v="331"/>
    <x v="2"/>
    <x v="0"/>
    <s v="John Doe"/>
    <s v="USA"/>
    <s v="East"/>
    <x v="2"/>
    <x v="1"/>
    <x v="1"/>
    <n v="1"/>
    <s v="Ok"/>
    <n v="50"/>
    <x v="3"/>
    <x v="0"/>
    <s v="Senior"/>
    <s v="Completed"/>
    <n v="50"/>
    <n v="0"/>
    <x v="0"/>
    <n v="50"/>
    <n v="1"/>
  </r>
  <r>
    <n v="346"/>
    <x v="332"/>
    <x v="9"/>
    <x v="0"/>
    <s v="Susan Lee"/>
    <s v="USA"/>
    <s v="West"/>
    <x v="1"/>
    <x v="0"/>
    <x v="0"/>
    <n v="2"/>
    <s v="Ok"/>
    <n v="300"/>
    <x v="0"/>
    <x v="2"/>
    <s v="Senior"/>
    <s v="Completed"/>
    <n v="600"/>
    <n v="0"/>
    <x v="0"/>
    <n v="600"/>
    <n v="1"/>
  </r>
  <r>
    <n v="347"/>
    <x v="333"/>
    <x v="10"/>
    <x v="0"/>
    <s v="Mary Smith"/>
    <s v="USA"/>
    <s v="North"/>
    <x v="5"/>
    <x v="1"/>
    <x v="3"/>
    <n v="3"/>
    <s v="Ok"/>
    <n v="800"/>
    <x v="1"/>
    <x v="1"/>
    <s v="Mid"/>
    <s v="Pending"/>
    <n v="2400"/>
    <n v="96"/>
    <x v="3"/>
    <n v="2304"/>
    <n v="1"/>
  </r>
  <r>
    <n v="348"/>
    <x v="334"/>
    <x v="10"/>
    <x v="0"/>
    <s v="Alex Brown"/>
    <s v="USA"/>
    <s v="South"/>
    <x v="0"/>
    <x v="0"/>
    <x v="0"/>
    <m/>
    <s v="Missing Quantity"/>
    <n v="150"/>
    <x v="2"/>
    <x v="3"/>
    <s v="Junior"/>
    <s v="Completed"/>
    <m/>
    <m/>
    <x v="1"/>
    <m/>
    <n v="1"/>
  </r>
  <r>
    <n v="349"/>
    <x v="335"/>
    <x v="10"/>
    <x v="0"/>
    <s v="John Doe"/>
    <s v="USA"/>
    <s v="East"/>
    <x v="3"/>
    <x v="1"/>
    <x v="1"/>
    <n v="2"/>
    <s v="Ok"/>
    <n v="20"/>
    <x v="0"/>
    <x v="0"/>
    <s v="Senior"/>
    <s v="Completed"/>
    <n v="40"/>
    <n v="2"/>
    <x v="0"/>
    <n v="38"/>
    <n v="1"/>
  </r>
  <r>
    <n v="350"/>
    <x v="336"/>
    <x v="10"/>
    <x v="0"/>
    <s v="Susan Lee"/>
    <s v="USA"/>
    <s v="West"/>
    <x v="2"/>
    <x v="1"/>
    <x v="1"/>
    <n v="5"/>
    <s v="Ok"/>
    <n v="50"/>
    <x v="3"/>
    <x v="0"/>
    <s v="Senior"/>
    <s v="Pending"/>
    <n v="250"/>
    <n v="12.5"/>
    <x v="0"/>
    <n v="237.5"/>
    <n v="1"/>
  </r>
  <r>
    <n v="351"/>
    <x v="337"/>
    <x v="10"/>
    <x v="0"/>
    <s v="Mary Smith"/>
    <s v="USA"/>
    <s v="North"/>
    <x v="1"/>
    <x v="0"/>
    <x v="0"/>
    <n v="1"/>
    <s v="Ok"/>
    <n v="300"/>
    <x v="0"/>
    <x v="1"/>
    <s v="Senior"/>
    <s v="Completed"/>
    <n v="300"/>
    <n v="0"/>
    <x v="0"/>
    <n v="300"/>
    <n v="1"/>
  </r>
  <r>
    <n v="352"/>
    <x v="338"/>
    <x v="10"/>
    <x v="0"/>
    <s v="Alex Brown"/>
    <s v="USA"/>
    <s v="South"/>
    <x v="5"/>
    <x v="1"/>
    <x v="3"/>
    <n v="4"/>
    <s v="Ok"/>
    <n v="800"/>
    <x v="1"/>
    <x v="2"/>
    <s v="Mid"/>
    <s v="Pending"/>
    <n v="3200"/>
    <n v="224"/>
    <x v="3"/>
    <n v="2976"/>
    <n v="1"/>
  </r>
  <r>
    <n v="353"/>
    <x v="339"/>
    <x v="10"/>
    <x v="0"/>
    <s v="John Doe"/>
    <s v="USA"/>
    <s v="East"/>
    <x v="0"/>
    <x v="0"/>
    <x v="0"/>
    <n v="2"/>
    <s v="Ok"/>
    <n v="150"/>
    <x v="2"/>
    <x v="0"/>
    <s v="Junior"/>
    <s v="Completed"/>
    <n v="300"/>
    <n v="15"/>
    <x v="0"/>
    <n v="285"/>
    <n v="1"/>
  </r>
  <r>
    <n v="354"/>
    <x v="340"/>
    <x v="10"/>
    <x v="0"/>
    <s v="Susan Lee"/>
    <s v="USA"/>
    <s v="West"/>
    <x v="3"/>
    <x v="1"/>
    <x v="1"/>
    <n v="3"/>
    <s v="Ok"/>
    <n v="20"/>
    <x v="0"/>
    <x v="0"/>
    <s v="Senior"/>
    <s v="Completed"/>
    <n v="60"/>
    <n v="3"/>
    <x v="0"/>
    <n v="57"/>
    <n v="1"/>
  </r>
  <r>
    <n v="355"/>
    <x v="341"/>
    <x v="10"/>
    <x v="0"/>
    <s v="Mary Smith"/>
    <s v="USA"/>
    <s v="North"/>
    <x v="2"/>
    <x v="1"/>
    <x v="1"/>
    <n v="2"/>
    <s v="Ok"/>
    <n v="50"/>
    <x v="3"/>
    <x v="1"/>
    <s v="Senior"/>
    <s v="Pending"/>
    <n v="100"/>
    <n v="4"/>
    <x v="0"/>
    <n v="96"/>
    <n v="1"/>
  </r>
  <r>
    <n v="356"/>
    <x v="342"/>
    <x v="10"/>
    <x v="0"/>
    <s v="Alex Brown"/>
    <s v="USA"/>
    <s v="South"/>
    <x v="1"/>
    <x v="0"/>
    <x v="0"/>
    <n v="5"/>
    <s v="Ok"/>
    <n v="300"/>
    <x v="0"/>
    <x v="3"/>
    <s v="Senior"/>
    <s v="Completed"/>
    <n v="1500"/>
    <n v="90"/>
    <x v="2"/>
    <n v="1410"/>
    <n v="1"/>
  </r>
  <r>
    <n v="357"/>
    <x v="343"/>
    <x v="10"/>
    <x v="0"/>
    <s v="John Doe"/>
    <s v="USA"/>
    <s v="East"/>
    <x v="5"/>
    <x v="1"/>
    <x v="3"/>
    <m/>
    <s v="Missing Quantity"/>
    <n v="800"/>
    <x v="1"/>
    <x v="0"/>
    <s v="Mid"/>
    <s v="Pending"/>
    <m/>
    <m/>
    <x v="1"/>
    <m/>
    <n v="1"/>
  </r>
  <r>
    <n v="358"/>
    <x v="344"/>
    <x v="10"/>
    <x v="0"/>
    <s v="Susan Lee"/>
    <s v="USA"/>
    <s v="West"/>
    <x v="0"/>
    <x v="0"/>
    <x v="0"/>
    <n v="1"/>
    <s v="Ok"/>
    <n v="150"/>
    <x v="2"/>
    <x v="0"/>
    <s v="Junior"/>
    <s v="Completed"/>
    <n v="150"/>
    <n v="0"/>
    <x v="0"/>
    <n v="150"/>
    <n v="1"/>
  </r>
  <r>
    <n v="359"/>
    <x v="345"/>
    <x v="10"/>
    <x v="0"/>
    <s v="Mary Smith"/>
    <s v="USA"/>
    <s v="North"/>
    <x v="3"/>
    <x v="1"/>
    <x v="1"/>
    <n v="2"/>
    <s v="Ok"/>
    <n v="20"/>
    <x v="0"/>
    <x v="0"/>
    <s v="Senior"/>
    <s v="Completed"/>
    <n v="40"/>
    <n v="2"/>
    <x v="0"/>
    <n v="38"/>
    <n v="1"/>
  </r>
  <r>
    <n v="360"/>
    <x v="346"/>
    <x v="10"/>
    <x v="0"/>
    <s v="Alex Brown"/>
    <s v="USA"/>
    <s v="South"/>
    <x v="2"/>
    <x v="1"/>
    <x v="1"/>
    <n v="4"/>
    <s v="Ok"/>
    <n v="50"/>
    <x v="3"/>
    <x v="2"/>
    <s v="Senior"/>
    <s v="Pending"/>
    <n v="200"/>
    <n v="14"/>
    <x v="0"/>
    <n v="186"/>
    <n v="1"/>
  </r>
  <r>
    <n v="361"/>
    <x v="347"/>
    <x v="10"/>
    <x v="0"/>
    <s v="John Doe"/>
    <s v="USA"/>
    <s v="East"/>
    <x v="1"/>
    <x v="0"/>
    <x v="0"/>
    <n v="3"/>
    <s v="Ok"/>
    <n v="300"/>
    <x v="0"/>
    <x v="1"/>
    <s v="Senior"/>
    <s v="Completed"/>
    <n v="900"/>
    <n v="36"/>
    <x v="0"/>
    <n v="864"/>
    <n v="1"/>
  </r>
  <r>
    <n v="362"/>
    <x v="348"/>
    <x v="10"/>
    <x v="0"/>
    <s v="Susan Lee"/>
    <s v="USA"/>
    <s v="West"/>
    <x v="5"/>
    <x v="1"/>
    <x v="3"/>
    <n v="2"/>
    <s v="Ok"/>
    <n v="800"/>
    <x v="1"/>
    <x v="3"/>
    <s v="Mid"/>
    <s v="Completed"/>
    <n v="1600"/>
    <n v="0"/>
    <x v="2"/>
    <n v="1600"/>
    <n v="1"/>
  </r>
  <r>
    <n v="363"/>
    <x v="349"/>
    <x v="10"/>
    <x v="0"/>
    <s v="Mary Smith"/>
    <s v="USA"/>
    <s v="North"/>
    <x v="0"/>
    <x v="0"/>
    <x v="0"/>
    <n v="1"/>
    <s v="Ok"/>
    <n v="150"/>
    <x v="2"/>
    <x v="0"/>
    <s v="Junior"/>
    <s v="Pending"/>
    <n v="150"/>
    <n v="0"/>
    <x v="0"/>
    <n v="150"/>
    <n v="1"/>
  </r>
  <r>
    <n v="364"/>
    <x v="350"/>
    <x v="10"/>
    <x v="0"/>
    <s v="Alex Brown"/>
    <s v="USA"/>
    <s v="South"/>
    <x v="3"/>
    <x v="1"/>
    <x v="1"/>
    <n v="5"/>
    <s v="Ok"/>
    <n v="20"/>
    <x v="0"/>
    <x v="0"/>
    <s v="Senior"/>
    <s v="Completed"/>
    <n v="100"/>
    <n v="5"/>
    <x v="0"/>
    <n v="95"/>
    <n v="1"/>
  </r>
  <r>
    <n v="365"/>
    <x v="351"/>
    <x v="10"/>
    <x v="0"/>
    <s v="John Doe"/>
    <s v="USA"/>
    <s v="East"/>
    <x v="2"/>
    <x v="1"/>
    <x v="1"/>
    <n v="2"/>
    <s v="Ok"/>
    <n v="50"/>
    <x v="3"/>
    <x v="2"/>
    <s v="Senior"/>
    <s v="Completed"/>
    <n v="100"/>
    <n v="0"/>
    <x v="0"/>
    <n v="100"/>
    <n v="1"/>
  </r>
  <r>
    <n v="366"/>
    <x v="352"/>
    <x v="10"/>
    <x v="0"/>
    <s v="Susan Lee"/>
    <s v="USA"/>
    <s v="West"/>
    <x v="1"/>
    <x v="0"/>
    <x v="0"/>
    <n v="3"/>
    <s v="Ok"/>
    <n v="300"/>
    <x v="0"/>
    <x v="1"/>
    <s v="Senior"/>
    <s v="Pending"/>
    <n v="900"/>
    <n v="36"/>
    <x v="0"/>
    <n v="864"/>
    <n v="1"/>
  </r>
  <r>
    <n v="367"/>
    <x v="353"/>
    <x v="0"/>
    <x v="1"/>
    <s v="Mary Smith"/>
    <s v="USA"/>
    <s v="North"/>
    <x v="5"/>
    <x v="1"/>
    <x v="3"/>
    <n v="2"/>
    <s v="Ok"/>
    <n v="800"/>
    <x v="1"/>
    <x v="3"/>
    <s v="Mid"/>
    <s v="Completed"/>
    <n v="1600"/>
    <n v="0"/>
    <x v="2"/>
    <n v="1600"/>
    <n v="1"/>
  </r>
  <r>
    <n v="368"/>
    <x v="354"/>
    <x v="4"/>
    <x v="1"/>
    <s v="Alex Brown"/>
    <s v="USA"/>
    <s v="South"/>
    <x v="0"/>
    <x v="0"/>
    <x v="0"/>
    <n v="4"/>
    <s v="Ok"/>
    <n v="150"/>
    <x v="2"/>
    <x v="0"/>
    <s v="Junior"/>
    <s v="Completed"/>
    <n v="600"/>
    <n v="30"/>
    <x v="0"/>
    <n v="570"/>
    <n v="1"/>
  </r>
  <r>
    <n v="369"/>
    <x v="355"/>
    <x v="5"/>
    <x v="1"/>
    <s v="John Doe"/>
    <s v="USA"/>
    <s v="East"/>
    <x v="3"/>
    <x v="1"/>
    <x v="1"/>
    <n v="1"/>
    <s v="Ok"/>
    <n v="20"/>
    <x v="0"/>
    <x v="0"/>
    <s v="Senior"/>
    <s v="Pending"/>
    <n v="20"/>
    <n v="0"/>
    <x v="0"/>
    <n v="20"/>
    <n v="1"/>
  </r>
  <r>
    <n v="370"/>
    <x v="356"/>
    <x v="3"/>
    <x v="1"/>
    <s v="Susan Lee"/>
    <s v="USA"/>
    <s v="West"/>
    <x v="2"/>
    <x v="1"/>
    <x v="1"/>
    <n v="5"/>
    <s v="Ok"/>
    <n v="50"/>
    <x v="3"/>
    <x v="0"/>
    <s v="Senior"/>
    <s v="Completed"/>
    <n v="250"/>
    <n v="12.5"/>
    <x v="0"/>
    <n v="237.5"/>
    <n v="1"/>
  </r>
  <r>
    <n v="371"/>
    <x v="357"/>
    <x v="6"/>
    <x v="1"/>
    <s v="Mary Smith"/>
    <s v="USA"/>
    <s v="North"/>
    <x v="1"/>
    <x v="0"/>
    <x v="0"/>
    <n v="2"/>
    <s v="Ok"/>
    <n v="300"/>
    <x v="0"/>
    <x v="2"/>
    <s v="Senior"/>
    <s v="Completed"/>
    <n v="600"/>
    <n v="0"/>
    <x v="0"/>
    <n v="600"/>
    <n v="1"/>
  </r>
  <r>
    <n v="372"/>
    <x v="358"/>
    <x v="11"/>
    <x v="1"/>
    <s v="Alex Brown"/>
    <s v="USA"/>
    <s v="South"/>
    <x v="5"/>
    <x v="1"/>
    <x v="3"/>
    <n v="3"/>
    <s v="Ok"/>
    <n v="800"/>
    <x v="1"/>
    <x v="1"/>
    <s v="Mid"/>
    <s v="Pending"/>
    <n v="2400"/>
    <n v="96"/>
    <x v="3"/>
    <n v="2304"/>
    <n v="1"/>
  </r>
  <r>
    <n v="373"/>
    <x v="359"/>
    <x v="7"/>
    <x v="1"/>
    <s v="John Doe"/>
    <s v="USA"/>
    <s v="East"/>
    <x v="0"/>
    <x v="0"/>
    <x v="0"/>
    <n v="1"/>
    <s v="Ok"/>
    <n v="150"/>
    <x v="2"/>
    <x v="3"/>
    <s v="Junior"/>
    <s v="Completed"/>
    <n v="150"/>
    <n v="0"/>
    <x v="0"/>
    <n v="150"/>
    <n v="1"/>
  </r>
  <r>
    <n v="374"/>
    <x v="360"/>
    <x v="1"/>
    <x v="1"/>
    <s v="Susan Lee"/>
    <s v="USA"/>
    <s v="West"/>
    <x v="3"/>
    <x v="1"/>
    <x v="1"/>
    <n v="4"/>
    <s v="Ok"/>
    <n v="20"/>
    <x v="0"/>
    <x v="0"/>
    <s v="Senior"/>
    <s v="Completed"/>
    <n v="80"/>
    <n v="4"/>
    <x v="0"/>
    <n v="76"/>
    <n v="1"/>
  </r>
  <r>
    <n v="375"/>
    <x v="361"/>
    <x v="8"/>
    <x v="1"/>
    <s v="Mary Smith"/>
    <s v="USA"/>
    <s v="North"/>
    <x v="2"/>
    <x v="1"/>
    <x v="1"/>
    <n v="2"/>
    <s v="Ok"/>
    <n v="50"/>
    <x v="3"/>
    <x v="0"/>
    <s v="Senior"/>
    <s v="Pending"/>
    <n v="100"/>
    <n v="5"/>
    <x v="0"/>
    <n v="95"/>
    <n v="1"/>
  </r>
  <r>
    <n v="376"/>
    <x v="362"/>
    <x v="2"/>
    <x v="1"/>
    <s v="Alex Brown"/>
    <s v="USA"/>
    <s v="South"/>
    <x v="1"/>
    <x v="0"/>
    <x v="0"/>
    <n v="5"/>
    <s v="Ok"/>
    <n v="300"/>
    <x v="0"/>
    <x v="1"/>
    <s v="Senior"/>
    <s v="Completed"/>
    <n v="1500"/>
    <n v="60"/>
    <x v="2"/>
    <n v="1440"/>
    <n v="1"/>
  </r>
  <r>
    <n v="377"/>
    <x v="363"/>
    <x v="9"/>
    <x v="1"/>
    <s v="John Doe"/>
    <s v="USA"/>
    <s v="East"/>
    <x v="5"/>
    <x v="1"/>
    <x v="3"/>
    <n v="2"/>
    <s v="Ok"/>
    <n v="800"/>
    <x v="1"/>
    <x v="2"/>
    <s v="Mid"/>
    <s v="Pending"/>
    <n v="1600"/>
    <n v="0"/>
    <x v="2"/>
    <n v="1600"/>
    <n v="1"/>
  </r>
  <r>
    <n v="378"/>
    <x v="364"/>
    <x v="10"/>
    <x v="1"/>
    <s v="Susan Lee"/>
    <s v="USA"/>
    <s v="West"/>
    <x v="0"/>
    <x v="0"/>
    <x v="0"/>
    <n v="3"/>
    <s v="Ok"/>
    <n v="150"/>
    <x v="2"/>
    <x v="0"/>
    <s v="Junior"/>
    <s v="Completed"/>
    <n v="450"/>
    <n v="22.5"/>
    <x v="0"/>
    <n v="427.5"/>
    <n v="1"/>
  </r>
  <r>
    <n v="379"/>
    <x v="365"/>
    <x v="0"/>
    <x v="1"/>
    <s v="Mary Smith"/>
    <s v="USA"/>
    <s v="North"/>
    <x v="3"/>
    <x v="1"/>
    <x v="1"/>
    <n v="1"/>
    <s v="Ok"/>
    <n v="20"/>
    <x v="0"/>
    <x v="0"/>
    <s v="Senior"/>
    <s v="Completed"/>
    <n v="20"/>
    <n v="0"/>
    <x v="0"/>
    <n v="20"/>
    <n v="1"/>
  </r>
  <r>
    <n v="380"/>
    <x v="366"/>
    <x v="0"/>
    <x v="1"/>
    <s v="Alex Brown"/>
    <s v="USA"/>
    <s v="South"/>
    <x v="2"/>
    <x v="1"/>
    <x v="1"/>
    <n v="2"/>
    <s v="Ok"/>
    <n v="50"/>
    <x v="3"/>
    <x v="1"/>
    <s v="Senior"/>
    <s v="Pending"/>
    <n v="100"/>
    <n v="4"/>
    <x v="0"/>
    <n v="96"/>
    <n v="1"/>
  </r>
  <r>
    <n v="381"/>
    <x v="367"/>
    <x v="0"/>
    <x v="1"/>
    <s v="John Doe"/>
    <s v="USA"/>
    <s v="East"/>
    <x v="1"/>
    <x v="0"/>
    <x v="0"/>
    <n v="4"/>
    <s v="Ok"/>
    <n v="300"/>
    <x v="0"/>
    <x v="3"/>
    <s v="Senior"/>
    <s v="Completed"/>
    <n v="1200"/>
    <n v="72"/>
    <x v="2"/>
    <n v="1128"/>
    <n v="1"/>
  </r>
  <r>
    <n v="382"/>
    <x v="368"/>
    <x v="0"/>
    <x v="1"/>
    <s v="Susan Lee"/>
    <s v="USA"/>
    <s v="West"/>
    <x v="5"/>
    <x v="1"/>
    <x v="3"/>
    <m/>
    <s v="Missing Quantity"/>
    <n v="800"/>
    <x v="1"/>
    <x v="0"/>
    <s v="Mid"/>
    <s v="Pending"/>
    <m/>
    <m/>
    <x v="1"/>
    <m/>
    <n v="1"/>
  </r>
  <r>
    <n v="383"/>
    <x v="369"/>
    <x v="0"/>
    <x v="1"/>
    <s v="Mary Smith"/>
    <s v="USA"/>
    <s v="North"/>
    <x v="0"/>
    <x v="0"/>
    <x v="0"/>
    <n v="2"/>
    <s v="Ok"/>
    <n v="150"/>
    <x v="2"/>
    <x v="0"/>
    <s v="Junior"/>
    <s v="Completed"/>
    <n v="300"/>
    <n v="15"/>
    <x v="0"/>
    <n v="285"/>
    <n v="1"/>
  </r>
  <r>
    <n v="384"/>
    <x v="370"/>
    <x v="0"/>
    <x v="1"/>
    <s v="Alex Brown"/>
    <s v="USA"/>
    <s v="South"/>
    <x v="3"/>
    <x v="1"/>
    <x v="1"/>
    <n v="5"/>
    <s v="Ok"/>
    <n v="20"/>
    <x v="0"/>
    <x v="0"/>
    <s v="Senior"/>
    <s v="Completed"/>
    <n v="100"/>
    <n v="5"/>
    <x v="0"/>
    <n v="95"/>
    <n v="1"/>
  </r>
  <r>
    <n v="385"/>
    <x v="371"/>
    <x v="0"/>
    <x v="1"/>
    <s v="John Doe"/>
    <s v="USA"/>
    <s v="East"/>
    <x v="2"/>
    <x v="1"/>
    <x v="1"/>
    <n v="2"/>
    <s v="Ok"/>
    <n v="50"/>
    <x v="3"/>
    <x v="2"/>
    <s v="Senior"/>
    <s v="Pending"/>
    <n v="100"/>
    <n v="0"/>
    <x v="0"/>
    <n v="100"/>
    <n v="1"/>
  </r>
  <r>
    <n v="386"/>
    <x v="372"/>
    <x v="0"/>
    <x v="1"/>
    <s v="Susan Lee"/>
    <s v="USA"/>
    <s v="West"/>
    <x v="1"/>
    <x v="0"/>
    <x v="0"/>
    <n v="3"/>
    <s v="Ok"/>
    <n v="300"/>
    <x v="0"/>
    <x v="1"/>
    <s v="Senior"/>
    <s v="Completed"/>
    <n v="900"/>
    <n v="36"/>
    <x v="0"/>
    <n v="864"/>
    <n v="1"/>
  </r>
  <r>
    <n v="387"/>
    <x v="373"/>
    <x v="0"/>
    <x v="1"/>
    <s v="Mary Smith"/>
    <s v="USA"/>
    <s v="North"/>
    <x v="5"/>
    <x v="1"/>
    <x v="3"/>
    <n v="2"/>
    <s v="Ok"/>
    <n v="800"/>
    <x v="1"/>
    <x v="3"/>
    <s v="Mid"/>
    <s v="Completed"/>
    <n v="1600"/>
    <n v="0"/>
    <x v="2"/>
    <n v="1600"/>
    <n v="1"/>
  </r>
  <r>
    <n v="388"/>
    <x v="374"/>
    <x v="0"/>
    <x v="1"/>
    <s v="Alex Brown"/>
    <s v="USA"/>
    <s v="South"/>
    <x v="0"/>
    <x v="0"/>
    <x v="0"/>
    <n v="1"/>
    <s v="Ok"/>
    <n v="150"/>
    <x v="2"/>
    <x v="0"/>
    <s v="Junior"/>
    <s v="Pending"/>
    <n v="150"/>
    <n v="0"/>
    <x v="0"/>
    <n v="150"/>
    <n v="1"/>
  </r>
  <r>
    <n v="389"/>
    <x v="375"/>
    <x v="0"/>
    <x v="1"/>
    <s v="John Doe"/>
    <s v="USA"/>
    <s v="East"/>
    <x v="3"/>
    <x v="1"/>
    <x v="1"/>
    <n v="4"/>
    <s v="Ok"/>
    <n v="20"/>
    <x v="0"/>
    <x v="0"/>
    <s v="Senior"/>
    <s v="Completed"/>
    <n v="80"/>
    <n v="4"/>
    <x v="0"/>
    <n v="76"/>
    <n v="1"/>
  </r>
  <r>
    <n v="390"/>
    <x v="376"/>
    <x v="0"/>
    <x v="1"/>
    <s v="Susan Lee"/>
    <s v="USA"/>
    <s v="West"/>
    <x v="2"/>
    <x v="1"/>
    <x v="1"/>
    <n v="2"/>
    <s v="Ok"/>
    <n v="50"/>
    <x v="3"/>
    <x v="2"/>
    <s v="Senior"/>
    <s v="Completed"/>
    <n v="100"/>
    <n v="0"/>
    <x v="0"/>
    <n v="100"/>
    <n v="1"/>
  </r>
  <r>
    <n v="391"/>
    <x v="377"/>
    <x v="0"/>
    <x v="1"/>
    <s v="Mary Smith"/>
    <s v="USA"/>
    <s v="North"/>
    <x v="1"/>
    <x v="0"/>
    <x v="0"/>
    <n v="5"/>
    <s v="Ok"/>
    <n v="300"/>
    <x v="0"/>
    <x v="1"/>
    <s v="Senior"/>
    <s v="Pending"/>
    <n v="1500"/>
    <n v="60"/>
    <x v="2"/>
    <n v="1440"/>
    <n v="1"/>
  </r>
  <r>
    <n v="392"/>
    <x v="378"/>
    <x v="0"/>
    <x v="1"/>
    <s v="Alex Brown"/>
    <s v="USA"/>
    <s v="South"/>
    <x v="5"/>
    <x v="1"/>
    <x v="3"/>
    <n v="3"/>
    <s v="Ok"/>
    <n v="800"/>
    <x v="1"/>
    <x v="3"/>
    <s v="Mid"/>
    <s v="Completed"/>
    <n v="2400"/>
    <n v="144"/>
    <x v="3"/>
    <n v="2256"/>
    <n v="1"/>
  </r>
  <r>
    <n v="393"/>
    <x v="379"/>
    <x v="0"/>
    <x v="1"/>
    <s v="John Doe"/>
    <s v="USA"/>
    <s v="East"/>
    <x v="0"/>
    <x v="0"/>
    <x v="0"/>
    <n v="2"/>
    <s v="Ok"/>
    <n v="150"/>
    <x v="2"/>
    <x v="0"/>
    <s v="Junior"/>
    <s v="Completed"/>
    <n v="300"/>
    <n v="15"/>
    <x v="0"/>
    <n v="285"/>
    <n v="1"/>
  </r>
  <r>
    <n v="394"/>
    <x v="380"/>
    <x v="0"/>
    <x v="1"/>
    <s v="Susan Lee"/>
    <s v="USA"/>
    <s v="West"/>
    <x v="3"/>
    <x v="1"/>
    <x v="1"/>
    <n v="1"/>
    <s v="Ok"/>
    <n v="20"/>
    <x v="0"/>
    <x v="0"/>
    <s v="Senior"/>
    <s v="Pending"/>
    <n v="20"/>
    <n v="0"/>
    <x v="0"/>
    <n v="20"/>
    <n v="1"/>
  </r>
  <r>
    <n v="395"/>
    <x v="381"/>
    <x v="0"/>
    <x v="1"/>
    <s v="Mary Smith"/>
    <s v="USA"/>
    <s v="North"/>
    <x v="2"/>
    <x v="1"/>
    <x v="1"/>
    <n v="4"/>
    <s v="Ok"/>
    <n v="50"/>
    <x v="3"/>
    <x v="1"/>
    <s v="Senior"/>
    <s v="Completed"/>
    <n v="200"/>
    <n v="8"/>
    <x v="0"/>
    <n v="192"/>
    <n v="1"/>
  </r>
  <r>
    <n v="396"/>
    <x v="382"/>
    <x v="0"/>
    <x v="1"/>
    <s v="Alex Brown"/>
    <s v="USA"/>
    <s v="South"/>
    <x v="1"/>
    <x v="0"/>
    <x v="0"/>
    <n v="2"/>
    <s v="Ok"/>
    <n v="300"/>
    <x v="0"/>
    <x v="3"/>
    <s v="Senior"/>
    <s v="Completed"/>
    <n v="600"/>
    <n v="0"/>
    <x v="0"/>
    <n v="600"/>
    <n v="1"/>
  </r>
  <r>
    <n v="397"/>
    <x v="383"/>
    <x v="0"/>
    <x v="1"/>
    <s v="John Doe"/>
    <s v="USA"/>
    <s v="East"/>
    <x v="5"/>
    <x v="1"/>
    <x v="3"/>
    <n v="5"/>
    <s v="Ok"/>
    <n v="800"/>
    <x v="1"/>
    <x v="0"/>
    <s v="Mid"/>
    <s v="Pending"/>
    <n v="4000"/>
    <n v="200"/>
    <x v="3"/>
    <n v="3800"/>
    <n v="1"/>
  </r>
  <r>
    <n v="398"/>
    <x v="384"/>
    <x v="0"/>
    <x v="1"/>
    <s v="Susan Lee"/>
    <s v="USA"/>
    <s v="West"/>
    <x v="0"/>
    <x v="0"/>
    <x v="0"/>
    <n v="3"/>
    <s v="Ok"/>
    <n v="150"/>
    <x v="2"/>
    <x v="0"/>
    <s v="Junior"/>
    <s v="Completed"/>
    <n v="450"/>
    <n v="22.5"/>
    <x v="0"/>
    <n v="427.5"/>
    <n v="1"/>
  </r>
  <r>
    <n v="399"/>
    <x v="385"/>
    <x v="4"/>
    <x v="1"/>
    <s v="Mary Smith"/>
    <s v="USA"/>
    <s v="North"/>
    <x v="3"/>
    <x v="1"/>
    <x v="1"/>
    <n v="2"/>
    <s v="Ok"/>
    <n v="20"/>
    <x v="0"/>
    <x v="0"/>
    <s v="Senior"/>
    <s v="Completed"/>
    <n v="40"/>
    <n v="2"/>
    <x v="0"/>
    <n v="38"/>
    <n v="1"/>
  </r>
  <r>
    <n v="400"/>
    <x v="386"/>
    <x v="5"/>
    <x v="1"/>
    <s v="Alex Brown"/>
    <s v="USA"/>
    <s v="South"/>
    <x v="2"/>
    <x v="1"/>
    <x v="1"/>
    <n v="1"/>
    <s v="Ok"/>
    <n v="50"/>
    <x v="3"/>
    <x v="2"/>
    <s v="Senior"/>
    <s v="Pending"/>
    <n v="50"/>
    <n v="0"/>
    <x v="0"/>
    <n v="50"/>
    <n v="1"/>
  </r>
  <r>
    <n v="401"/>
    <x v="387"/>
    <x v="3"/>
    <x v="1"/>
    <s v="John Doe"/>
    <s v="USA"/>
    <s v="East"/>
    <x v="1"/>
    <x v="0"/>
    <x v="0"/>
    <n v="2"/>
    <s v="Ok"/>
    <n v="300"/>
    <x v="0"/>
    <x v="1"/>
    <s v="Senior"/>
    <s v="Completed"/>
    <n v="600"/>
    <n v="24"/>
    <x v="0"/>
    <n v="576"/>
    <n v="1"/>
  </r>
  <r>
    <n v="402"/>
    <x v="388"/>
    <x v="6"/>
    <x v="1"/>
    <s v="Susan Lee"/>
    <s v="USA"/>
    <s v="West"/>
    <x v="5"/>
    <x v="1"/>
    <x v="3"/>
    <n v="3"/>
    <s v="Ok"/>
    <n v="800"/>
    <x v="1"/>
    <x v="3"/>
    <s v="Mid"/>
    <s v="Pending"/>
    <n v="2400"/>
    <n v="144"/>
    <x v="3"/>
    <n v="2256"/>
    <n v="1"/>
  </r>
  <r>
    <n v="403"/>
    <x v="389"/>
    <x v="11"/>
    <x v="1"/>
    <s v="Mary Smith"/>
    <s v="USA"/>
    <s v="North"/>
    <x v="0"/>
    <x v="0"/>
    <x v="0"/>
    <n v="1"/>
    <s v="Ok"/>
    <n v="150"/>
    <x v="2"/>
    <x v="0"/>
    <s v="Junior"/>
    <s v="Completed"/>
    <n v="150"/>
    <n v="0"/>
    <x v="0"/>
    <n v="150"/>
    <n v="1"/>
  </r>
  <r>
    <n v="404"/>
    <x v="390"/>
    <x v="7"/>
    <x v="1"/>
    <s v="Alex Brown"/>
    <s v="USA"/>
    <s v="South"/>
    <x v="3"/>
    <x v="1"/>
    <x v="1"/>
    <n v="4"/>
    <s v="Ok"/>
    <n v="20"/>
    <x v="0"/>
    <x v="0"/>
    <s v="Senior"/>
    <s v="Completed"/>
    <n v="80"/>
    <n v="4"/>
    <x v="0"/>
    <n v="76"/>
    <n v="1"/>
  </r>
  <r>
    <n v="405"/>
    <x v="391"/>
    <x v="1"/>
    <x v="1"/>
    <s v="John Doe"/>
    <s v="USA"/>
    <s v="East"/>
    <x v="2"/>
    <x v="1"/>
    <x v="1"/>
    <n v="2"/>
    <s v="Ok"/>
    <n v="50"/>
    <x v="3"/>
    <x v="2"/>
    <s v="Senior"/>
    <s v="Pending"/>
    <n v="100"/>
    <n v="0"/>
    <x v="0"/>
    <n v="100"/>
    <n v="1"/>
  </r>
  <r>
    <n v="406"/>
    <x v="392"/>
    <x v="8"/>
    <x v="1"/>
    <s v="Susan Lee"/>
    <s v="USA"/>
    <s v="West"/>
    <x v="1"/>
    <x v="0"/>
    <x v="0"/>
    <n v="5"/>
    <s v="Ok"/>
    <n v="300"/>
    <x v="0"/>
    <x v="1"/>
    <s v="Senior"/>
    <s v="Completed"/>
    <n v="1500"/>
    <n v="60"/>
    <x v="2"/>
    <n v="1440"/>
    <n v="1"/>
  </r>
  <r>
    <n v="407"/>
    <x v="393"/>
    <x v="2"/>
    <x v="1"/>
    <s v="Mary Smith"/>
    <s v="USA"/>
    <s v="North"/>
    <x v="5"/>
    <x v="1"/>
    <x v="3"/>
    <n v="2"/>
    <s v="Ok"/>
    <n v="800"/>
    <x v="1"/>
    <x v="3"/>
    <s v="Mid"/>
    <s v="Completed"/>
    <n v="1600"/>
    <n v="0"/>
    <x v="2"/>
    <n v="1600"/>
    <n v="1"/>
  </r>
  <r>
    <n v="408"/>
    <x v="394"/>
    <x v="9"/>
    <x v="1"/>
    <s v="Alex Brown"/>
    <s v="USA"/>
    <s v="South"/>
    <x v="0"/>
    <x v="0"/>
    <x v="0"/>
    <n v="3"/>
    <s v="Ok"/>
    <n v="150"/>
    <x v="2"/>
    <x v="0"/>
    <s v="Junior"/>
    <s v="Pending"/>
    <n v="450"/>
    <n v="22.5"/>
    <x v="0"/>
    <n v="427.5"/>
    <n v="1"/>
  </r>
  <r>
    <n v="409"/>
    <x v="395"/>
    <x v="10"/>
    <x v="1"/>
    <s v="John Doe"/>
    <s v="USA"/>
    <s v="East"/>
    <x v="3"/>
    <x v="1"/>
    <x v="1"/>
    <n v="1"/>
    <s v="Ok"/>
    <n v="20"/>
    <x v="0"/>
    <x v="0"/>
    <s v="Senior"/>
    <s v="Completed"/>
    <n v="20"/>
    <n v="0"/>
    <x v="0"/>
    <n v="20"/>
    <n v="1"/>
  </r>
  <r>
    <n v="410"/>
    <x v="396"/>
    <x v="4"/>
    <x v="1"/>
    <s v="Susan Lee"/>
    <s v="USA"/>
    <s v="West"/>
    <x v="2"/>
    <x v="1"/>
    <x v="1"/>
    <n v="4"/>
    <s v="Ok"/>
    <n v="50"/>
    <x v="3"/>
    <x v="1"/>
    <s v="Senior"/>
    <s v="Completed"/>
    <n v="200"/>
    <n v="8"/>
    <x v="0"/>
    <n v="192"/>
    <n v="1"/>
  </r>
  <r>
    <n v="411"/>
    <x v="397"/>
    <x v="4"/>
    <x v="1"/>
    <s v="Mary Smith"/>
    <s v="USA"/>
    <s v="North"/>
    <x v="1"/>
    <x v="0"/>
    <x v="0"/>
    <n v="2"/>
    <s v="Ok"/>
    <n v="300"/>
    <x v="0"/>
    <x v="3"/>
    <s v="Senior"/>
    <s v="Pending"/>
    <n v="600"/>
    <n v="0"/>
    <x v="0"/>
    <n v="600"/>
    <n v="1"/>
  </r>
  <r>
    <n v="412"/>
    <x v="398"/>
    <x v="4"/>
    <x v="1"/>
    <s v="Alex Brown"/>
    <s v="USA"/>
    <s v="South"/>
    <x v="5"/>
    <x v="1"/>
    <x v="3"/>
    <n v="3"/>
    <s v="Ok"/>
    <n v="800"/>
    <x v="1"/>
    <x v="0"/>
    <s v="Mid"/>
    <s v="Completed"/>
    <n v="2400"/>
    <n v="120"/>
    <x v="3"/>
    <n v="2280"/>
    <n v="1"/>
  </r>
  <r>
    <n v="413"/>
    <x v="399"/>
    <x v="4"/>
    <x v="1"/>
    <s v="John Doe"/>
    <s v="USA"/>
    <s v="East"/>
    <x v="0"/>
    <x v="0"/>
    <x v="0"/>
    <n v="2"/>
    <s v="Ok"/>
    <n v="150"/>
    <x v="2"/>
    <x v="0"/>
    <s v="Junior"/>
    <s v="Completed"/>
    <n v="300"/>
    <n v="15"/>
    <x v="0"/>
    <n v="285"/>
    <n v="1"/>
  </r>
  <r>
    <n v="414"/>
    <x v="400"/>
    <x v="4"/>
    <x v="1"/>
    <s v="Susan Lee"/>
    <s v="USA"/>
    <s v="West"/>
    <x v="3"/>
    <x v="1"/>
    <x v="1"/>
    <n v="5"/>
    <s v="Ok"/>
    <n v="20"/>
    <x v="0"/>
    <x v="0"/>
    <s v="Senior"/>
    <s v="Pending"/>
    <n v="100"/>
    <n v="5"/>
    <x v="0"/>
    <n v="95"/>
    <n v="1"/>
  </r>
  <r>
    <n v="415"/>
    <x v="401"/>
    <x v="4"/>
    <x v="1"/>
    <s v="Mary Smith"/>
    <s v="USA"/>
    <s v="North"/>
    <x v="2"/>
    <x v="1"/>
    <x v="1"/>
    <n v="1"/>
    <s v="Ok"/>
    <n v="50"/>
    <x v="3"/>
    <x v="2"/>
    <s v="Senior"/>
    <s v="Completed"/>
    <n v="50"/>
    <n v="0"/>
    <x v="0"/>
    <n v="50"/>
    <n v="1"/>
  </r>
  <r>
    <n v="416"/>
    <x v="402"/>
    <x v="4"/>
    <x v="1"/>
    <s v="Alex Brown"/>
    <s v="USA"/>
    <s v="South"/>
    <x v="1"/>
    <x v="0"/>
    <x v="0"/>
    <n v="4"/>
    <s v="Ok"/>
    <n v="300"/>
    <x v="0"/>
    <x v="1"/>
    <s v="Senior"/>
    <s v="Completed"/>
    <n v="1200"/>
    <n v="48"/>
    <x v="2"/>
    <n v="1152"/>
    <n v="1"/>
  </r>
  <r>
    <n v="417"/>
    <x v="403"/>
    <x v="4"/>
    <x v="1"/>
    <s v="John Doe"/>
    <s v="USA"/>
    <s v="East"/>
    <x v="5"/>
    <x v="1"/>
    <x v="3"/>
    <n v="2"/>
    <s v="Ok"/>
    <n v="800"/>
    <x v="1"/>
    <x v="3"/>
    <s v="Mid"/>
    <s v="Pending"/>
    <n v="1600"/>
    <n v="0"/>
    <x v="2"/>
    <n v="1600"/>
    <n v="1"/>
  </r>
  <r>
    <n v="418"/>
    <x v="404"/>
    <x v="4"/>
    <x v="1"/>
    <s v="Susan Lee"/>
    <s v="USA"/>
    <s v="West"/>
    <x v="0"/>
    <x v="0"/>
    <x v="0"/>
    <n v="3"/>
    <s v="Ok"/>
    <n v="150"/>
    <x v="2"/>
    <x v="0"/>
    <s v="Junior"/>
    <s v="Completed"/>
    <n v="450"/>
    <n v="22.5"/>
    <x v="0"/>
    <n v="427.5"/>
    <n v="1"/>
  </r>
  <r>
    <n v="419"/>
    <x v="405"/>
    <x v="4"/>
    <x v="1"/>
    <s v="Mary Smith"/>
    <s v="USA"/>
    <s v="North"/>
    <x v="3"/>
    <x v="1"/>
    <x v="1"/>
    <n v="2"/>
    <s v="Ok"/>
    <n v="20"/>
    <x v="0"/>
    <x v="0"/>
    <s v="Senior"/>
    <s v="Completed"/>
    <n v="40"/>
    <n v="2"/>
    <x v="0"/>
    <n v="38"/>
    <n v="1"/>
  </r>
  <r>
    <n v="420"/>
    <x v="406"/>
    <x v="4"/>
    <x v="1"/>
    <s v="Alex Brown"/>
    <s v="USA"/>
    <s v="South"/>
    <x v="2"/>
    <x v="1"/>
    <x v="1"/>
    <n v="5"/>
    <s v="Ok"/>
    <n v="50"/>
    <x v="3"/>
    <x v="1"/>
    <s v="Senior"/>
    <s v="Pending"/>
    <n v="250"/>
    <n v="10"/>
    <x v="0"/>
    <n v="240"/>
    <n v="1"/>
  </r>
  <r>
    <n v="421"/>
    <x v="407"/>
    <x v="4"/>
    <x v="1"/>
    <s v="John Doe"/>
    <s v="USA"/>
    <s v="East"/>
    <x v="1"/>
    <x v="0"/>
    <x v="0"/>
    <n v="1"/>
    <s v="Ok"/>
    <n v="300"/>
    <x v="0"/>
    <x v="3"/>
    <s v="Senior"/>
    <s v="Completed"/>
    <n v="300"/>
    <n v="0"/>
    <x v="0"/>
    <n v="300"/>
    <n v="1"/>
  </r>
  <r>
    <n v="422"/>
    <x v="408"/>
    <x v="4"/>
    <x v="1"/>
    <s v="Susan Lee"/>
    <s v="USA"/>
    <s v="West"/>
    <x v="5"/>
    <x v="1"/>
    <x v="3"/>
    <n v="4"/>
    <s v="Ok"/>
    <n v="800"/>
    <x v="1"/>
    <x v="0"/>
    <s v="Mid"/>
    <s v="Pending"/>
    <n v="3200"/>
    <n v="160"/>
    <x v="3"/>
    <n v="3040"/>
    <n v="1"/>
  </r>
  <r>
    <n v="423"/>
    <x v="409"/>
    <x v="4"/>
    <x v="1"/>
    <s v="Mary Smith"/>
    <s v="USA"/>
    <s v="North"/>
    <x v="0"/>
    <x v="0"/>
    <x v="0"/>
    <n v="2"/>
    <s v="Ok"/>
    <n v="150"/>
    <x v="2"/>
    <x v="0"/>
    <s v="Junior"/>
    <s v="Completed"/>
    <n v="300"/>
    <n v="15"/>
    <x v="0"/>
    <n v="285"/>
    <n v="1"/>
  </r>
  <r>
    <n v="424"/>
    <x v="410"/>
    <x v="4"/>
    <x v="1"/>
    <s v="Alex Brown"/>
    <s v="USA"/>
    <s v="South"/>
    <x v="3"/>
    <x v="1"/>
    <x v="1"/>
    <n v="3"/>
    <s v="Ok"/>
    <n v="20"/>
    <x v="0"/>
    <x v="0"/>
    <s v="Senior"/>
    <s v="Completed"/>
    <n v="60"/>
    <n v="3"/>
    <x v="0"/>
    <n v="57"/>
    <n v="1"/>
  </r>
  <r>
    <n v="425"/>
    <x v="411"/>
    <x v="4"/>
    <x v="1"/>
    <s v="John Doe"/>
    <s v="USA"/>
    <s v="East"/>
    <x v="2"/>
    <x v="1"/>
    <x v="1"/>
    <n v="2"/>
    <s v="Ok"/>
    <n v="50"/>
    <x v="3"/>
    <x v="2"/>
    <s v="Senior"/>
    <s v="Pending"/>
    <n v="100"/>
    <n v="0"/>
    <x v="0"/>
    <n v="100"/>
    <n v="1"/>
  </r>
  <r>
    <n v="426"/>
    <x v="412"/>
    <x v="0"/>
    <x v="1"/>
    <s v="Susan Lee"/>
    <s v="USA"/>
    <s v="West"/>
    <x v="1"/>
    <x v="0"/>
    <x v="0"/>
    <n v="5"/>
    <s v="Ok"/>
    <n v="300"/>
    <x v="0"/>
    <x v="1"/>
    <s v="Senior"/>
    <s v="Completed"/>
    <n v="1500"/>
    <n v="60"/>
    <x v="2"/>
    <n v="1440"/>
    <n v="1"/>
  </r>
  <r>
    <n v="427"/>
    <x v="413"/>
    <x v="4"/>
    <x v="1"/>
    <s v="Mary Smith"/>
    <s v="USA"/>
    <s v="North"/>
    <x v="5"/>
    <x v="1"/>
    <x v="3"/>
    <n v="3"/>
    <s v="Ok"/>
    <n v="800"/>
    <x v="1"/>
    <x v="3"/>
    <s v="Mid"/>
    <s v="Completed"/>
    <n v="2400"/>
    <n v="144"/>
    <x v="3"/>
    <n v="2256"/>
    <n v="1"/>
  </r>
  <r>
    <n v="428"/>
    <x v="414"/>
    <x v="5"/>
    <x v="1"/>
    <s v="Alex Brown"/>
    <s v="USA"/>
    <s v="South"/>
    <x v="0"/>
    <x v="0"/>
    <x v="0"/>
    <n v="1"/>
    <s v="Ok"/>
    <n v="150"/>
    <x v="2"/>
    <x v="0"/>
    <s v="Junior"/>
    <s v="Pending"/>
    <n v="150"/>
    <n v="0"/>
    <x v="0"/>
    <n v="150"/>
    <n v="1"/>
  </r>
  <r>
    <n v="429"/>
    <x v="415"/>
    <x v="3"/>
    <x v="1"/>
    <s v="John Doe"/>
    <s v="USA"/>
    <s v="East"/>
    <x v="3"/>
    <x v="1"/>
    <x v="1"/>
    <n v="4"/>
    <s v="Ok"/>
    <n v="20"/>
    <x v="0"/>
    <x v="0"/>
    <s v="Senior"/>
    <s v="Completed"/>
    <n v="80"/>
    <n v="4"/>
    <x v="0"/>
    <n v="76"/>
    <n v="1"/>
  </r>
  <r>
    <n v="430"/>
    <x v="416"/>
    <x v="6"/>
    <x v="1"/>
    <s v="Susan Lee"/>
    <s v="USA"/>
    <s v="West"/>
    <x v="2"/>
    <x v="1"/>
    <x v="1"/>
    <n v="2"/>
    <s v="Ok"/>
    <n v="50"/>
    <x v="3"/>
    <x v="1"/>
    <s v="Senior"/>
    <s v="Completed"/>
    <n v="100"/>
    <n v="4"/>
    <x v="0"/>
    <n v="96"/>
    <n v="1"/>
  </r>
  <r>
    <n v="431"/>
    <x v="417"/>
    <x v="11"/>
    <x v="1"/>
    <s v="Mary Smith"/>
    <s v="USA"/>
    <s v="North"/>
    <x v="1"/>
    <x v="0"/>
    <x v="0"/>
    <n v="3"/>
    <s v="Ok"/>
    <n v="300"/>
    <x v="0"/>
    <x v="3"/>
    <s v="Senior"/>
    <s v="Pending"/>
    <n v="900"/>
    <n v="54"/>
    <x v="0"/>
    <n v="846"/>
    <n v="1"/>
  </r>
  <r>
    <n v="432"/>
    <x v="418"/>
    <x v="7"/>
    <x v="1"/>
    <s v="Alex Brown"/>
    <s v="USA"/>
    <s v="South"/>
    <x v="5"/>
    <x v="1"/>
    <x v="3"/>
    <n v="2"/>
    <s v="Ok"/>
    <n v="800"/>
    <x v="1"/>
    <x v="0"/>
    <s v="Mid"/>
    <s v="Completed"/>
    <n v="1600"/>
    <n v="80"/>
    <x v="2"/>
    <n v="1520"/>
    <n v="1"/>
  </r>
  <r>
    <n v="433"/>
    <x v="419"/>
    <x v="1"/>
    <x v="1"/>
    <s v="John Doe"/>
    <s v="USA"/>
    <s v="East"/>
    <x v="0"/>
    <x v="0"/>
    <x v="0"/>
    <n v="4"/>
    <s v="Ok"/>
    <n v="150"/>
    <x v="2"/>
    <x v="0"/>
    <s v="Junior"/>
    <s v="Completed"/>
    <n v="600"/>
    <n v="30"/>
    <x v="0"/>
    <n v="570"/>
    <n v="1"/>
  </r>
  <r>
    <n v="434"/>
    <x v="420"/>
    <x v="8"/>
    <x v="1"/>
    <s v="Susan Lee"/>
    <s v="USA"/>
    <s v="West"/>
    <x v="3"/>
    <x v="1"/>
    <x v="1"/>
    <n v="1"/>
    <s v="Ok"/>
    <n v="20"/>
    <x v="0"/>
    <x v="0"/>
    <s v="Senior"/>
    <s v="Pending"/>
    <n v="20"/>
    <n v="0"/>
    <x v="0"/>
    <n v="20"/>
    <n v="1"/>
  </r>
  <r>
    <n v="435"/>
    <x v="421"/>
    <x v="2"/>
    <x v="1"/>
    <s v="Mary Smith"/>
    <s v="USA"/>
    <s v="North"/>
    <x v="2"/>
    <x v="1"/>
    <x v="1"/>
    <n v="5"/>
    <s v="Ok"/>
    <n v="50"/>
    <x v="3"/>
    <x v="2"/>
    <s v="Senior"/>
    <s v="Completed"/>
    <n v="250"/>
    <n v="17.5"/>
    <x v="0"/>
    <n v="232.5"/>
    <n v="1"/>
  </r>
  <r>
    <n v="436"/>
    <x v="422"/>
    <x v="9"/>
    <x v="1"/>
    <s v="Alex Brown"/>
    <s v="USA"/>
    <s v="South"/>
    <x v="1"/>
    <x v="0"/>
    <x v="0"/>
    <n v="2"/>
    <s v="Ok"/>
    <n v="300"/>
    <x v="0"/>
    <x v="1"/>
    <s v="Senior"/>
    <s v="Completed"/>
    <n v="600"/>
    <n v="24"/>
    <x v="0"/>
    <n v="576"/>
    <n v="1"/>
  </r>
  <r>
    <n v="437"/>
    <x v="423"/>
    <x v="10"/>
    <x v="1"/>
    <s v="John Doe"/>
    <s v="USA"/>
    <s v="East"/>
    <x v="5"/>
    <x v="1"/>
    <x v="3"/>
    <n v="3"/>
    <s v="Ok"/>
    <n v="800"/>
    <x v="1"/>
    <x v="3"/>
    <s v="Mid"/>
    <s v="Pending"/>
    <n v="2400"/>
    <n v="144"/>
    <x v="3"/>
    <n v="2256"/>
    <n v="1"/>
  </r>
  <r>
    <n v="438"/>
    <x v="424"/>
    <x v="5"/>
    <x v="1"/>
    <s v="Susan Lee"/>
    <s v="USA"/>
    <s v="West"/>
    <x v="0"/>
    <x v="0"/>
    <x v="0"/>
    <n v="2"/>
    <s v="Ok"/>
    <n v="150"/>
    <x v="2"/>
    <x v="0"/>
    <s v="Junior"/>
    <s v="Completed"/>
    <n v="300"/>
    <n v="15"/>
    <x v="0"/>
    <n v="285"/>
    <n v="1"/>
  </r>
  <r>
    <n v="439"/>
    <x v="425"/>
    <x v="5"/>
    <x v="1"/>
    <s v="Mary Smith"/>
    <s v="USA"/>
    <s v="North"/>
    <x v="3"/>
    <x v="1"/>
    <x v="1"/>
    <n v="4"/>
    <s v="Ok"/>
    <n v="20"/>
    <x v="0"/>
    <x v="0"/>
    <s v="Senior"/>
    <s v="Completed"/>
    <n v="80"/>
    <n v="4"/>
    <x v="0"/>
    <n v="76"/>
    <n v="1"/>
  </r>
  <r>
    <n v="440"/>
    <x v="426"/>
    <x v="5"/>
    <x v="1"/>
    <s v="Alex Brown"/>
    <s v="USA"/>
    <s v="South"/>
    <x v="2"/>
    <x v="1"/>
    <x v="1"/>
    <n v="1"/>
    <s v="Ok"/>
    <n v="50"/>
    <x v="3"/>
    <x v="1"/>
    <s v="Senior"/>
    <s v="Pending"/>
    <n v="50"/>
    <n v="0"/>
    <x v="0"/>
    <n v="50"/>
    <n v="1"/>
  </r>
  <r>
    <n v="441"/>
    <x v="427"/>
    <x v="5"/>
    <x v="1"/>
    <s v="John Doe"/>
    <s v="USA"/>
    <s v="East"/>
    <x v="1"/>
    <x v="0"/>
    <x v="0"/>
    <n v="5"/>
    <s v="Ok"/>
    <n v="300"/>
    <x v="0"/>
    <x v="3"/>
    <s v="Senior"/>
    <s v="Completed"/>
    <n v="1500"/>
    <n v="90"/>
    <x v="2"/>
    <n v="1410"/>
    <n v="1"/>
  </r>
  <r>
    <n v="442"/>
    <x v="428"/>
    <x v="5"/>
    <x v="1"/>
    <s v="Susan Lee"/>
    <s v="USA"/>
    <s v="West"/>
    <x v="5"/>
    <x v="1"/>
    <x v="3"/>
    <n v="2"/>
    <s v="Ok"/>
    <n v="800"/>
    <x v="1"/>
    <x v="0"/>
    <s v="Mid"/>
    <s v="Pending"/>
    <n v="1600"/>
    <n v="80"/>
    <x v="2"/>
    <n v="1520"/>
    <n v="1"/>
  </r>
  <r>
    <n v="443"/>
    <x v="429"/>
    <x v="5"/>
    <x v="1"/>
    <s v="Mary Smith"/>
    <s v="USA"/>
    <s v="North"/>
    <x v="0"/>
    <x v="0"/>
    <x v="0"/>
    <n v="3"/>
    <s v="Ok"/>
    <n v="150"/>
    <x v="2"/>
    <x v="0"/>
    <s v="Junior"/>
    <s v="Completed"/>
    <n v="450"/>
    <n v="22.5"/>
    <x v="0"/>
    <n v="427.5"/>
    <n v="1"/>
  </r>
  <r>
    <n v="444"/>
    <x v="430"/>
    <x v="5"/>
    <x v="1"/>
    <s v="Alex Brown"/>
    <s v="USA"/>
    <s v="South"/>
    <x v="3"/>
    <x v="1"/>
    <x v="1"/>
    <n v="2"/>
    <s v="Ok"/>
    <n v="20"/>
    <x v="0"/>
    <x v="0"/>
    <s v="Senior"/>
    <s v="Completed"/>
    <n v="40"/>
    <n v="2"/>
    <x v="0"/>
    <n v="38"/>
    <n v="1"/>
  </r>
  <r>
    <n v="445"/>
    <x v="431"/>
    <x v="5"/>
    <x v="1"/>
    <s v="John Doe"/>
    <s v="USA"/>
    <s v="East"/>
    <x v="2"/>
    <x v="1"/>
    <x v="1"/>
    <n v="4"/>
    <s v="Ok"/>
    <n v="50"/>
    <x v="3"/>
    <x v="2"/>
    <s v="Senior"/>
    <s v="Pending"/>
    <n v="200"/>
    <n v="14"/>
    <x v="0"/>
    <n v="186"/>
    <n v="1"/>
  </r>
  <r>
    <n v="446"/>
    <x v="432"/>
    <x v="5"/>
    <x v="1"/>
    <s v="Susan Lee"/>
    <s v="USA"/>
    <s v="West"/>
    <x v="1"/>
    <x v="0"/>
    <x v="0"/>
    <n v="1"/>
    <s v="Ok"/>
    <n v="300"/>
    <x v="0"/>
    <x v="1"/>
    <s v="Senior"/>
    <s v="Completed"/>
    <n v="300"/>
    <n v="0"/>
    <x v="0"/>
    <n v="300"/>
    <n v="1"/>
  </r>
  <r>
    <n v="447"/>
    <x v="433"/>
    <x v="5"/>
    <x v="1"/>
    <s v="Mary Smith"/>
    <s v="USA"/>
    <s v="North"/>
    <x v="5"/>
    <x v="1"/>
    <x v="3"/>
    <n v="5"/>
    <s v="Ok"/>
    <n v="800"/>
    <x v="1"/>
    <x v="3"/>
    <s v="Mid"/>
    <s v="Pending"/>
    <n v="4000"/>
    <n v="240"/>
    <x v="3"/>
    <n v="3760"/>
    <n v="1"/>
  </r>
  <r>
    <n v="448"/>
    <x v="434"/>
    <x v="5"/>
    <x v="1"/>
    <s v="Alex Brown"/>
    <s v="USA"/>
    <s v="South"/>
    <x v="0"/>
    <x v="0"/>
    <x v="0"/>
    <n v="2"/>
    <s v="Ok"/>
    <n v="150"/>
    <x v="2"/>
    <x v="0"/>
    <s v="Junior"/>
    <s v="Completed"/>
    <n v="300"/>
    <n v="15"/>
    <x v="0"/>
    <n v="285"/>
    <n v="1"/>
  </r>
  <r>
    <n v="449"/>
    <x v="435"/>
    <x v="5"/>
    <x v="1"/>
    <s v="John Doe"/>
    <s v="USA"/>
    <s v="East"/>
    <x v="3"/>
    <x v="1"/>
    <x v="1"/>
    <n v="3"/>
    <s v="Ok"/>
    <n v="20"/>
    <x v="0"/>
    <x v="0"/>
    <s v="Senior"/>
    <s v="Completed"/>
    <n v="60"/>
    <n v="3"/>
    <x v="0"/>
    <n v="57"/>
    <n v="1"/>
  </r>
  <r>
    <n v="450"/>
    <x v="436"/>
    <x v="5"/>
    <x v="1"/>
    <s v="Susan Lee"/>
    <s v="USA"/>
    <s v="West"/>
    <x v="2"/>
    <x v="1"/>
    <x v="1"/>
    <n v="2"/>
    <s v="Ok"/>
    <n v="50"/>
    <x v="3"/>
    <x v="1"/>
    <s v="Senior"/>
    <s v="Pending"/>
    <n v="100"/>
    <n v="4"/>
    <x v="0"/>
    <n v="96"/>
    <n v="1"/>
  </r>
  <r>
    <n v="451"/>
    <x v="437"/>
    <x v="5"/>
    <x v="1"/>
    <s v="Mary Smith"/>
    <s v="USA"/>
    <s v="North"/>
    <x v="1"/>
    <x v="0"/>
    <x v="0"/>
    <n v="4"/>
    <s v="Ok"/>
    <n v="300"/>
    <x v="0"/>
    <x v="3"/>
    <s v="Senior"/>
    <s v="Completed"/>
    <n v="1200"/>
    <n v="72"/>
    <x v="2"/>
    <n v="1128"/>
    <n v="1"/>
  </r>
  <r>
    <n v="452"/>
    <x v="438"/>
    <x v="5"/>
    <x v="1"/>
    <s v="Alex Brown"/>
    <s v="USA"/>
    <s v="South"/>
    <x v="5"/>
    <x v="1"/>
    <x v="3"/>
    <n v="1"/>
    <s v="Ok"/>
    <n v="800"/>
    <x v="1"/>
    <x v="0"/>
    <s v="Mid"/>
    <s v="Pending"/>
    <n v="800"/>
    <n v="0"/>
    <x v="0"/>
    <n v="800"/>
    <n v="1"/>
  </r>
  <r>
    <n v="453"/>
    <x v="439"/>
    <x v="5"/>
    <x v="1"/>
    <s v="John Doe"/>
    <s v="USA"/>
    <s v="East"/>
    <x v="0"/>
    <x v="0"/>
    <x v="0"/>
    <n v="3"/>
    <s v="Ok"/>
    <n v="150"/>
    <x v="2"/>
    <x v="0"/>
    <s v="Junior"/>
    <s v="Completed"/>
    <n v="450"/>
    <n v="22.5"/>
    <x v="0"/>
    <n v="427.5"/>
    <n v="1"/>
  </r>
  <r>
    <n v="454"/>
    <x v="440"/>
    <x v="5"/>
    <x v="1"/>
    <s v="Susan Lee"/>
    <s v="USA"/>
    <s v="West"/>
    <x v="3"/>
    <x v="1"/>
    <x v="1"/>
    <n v="2"/>
    <s v="Ok"/>
    <n v="20"/>
    <x v="0"/>
    <x v="0"/>
    <s v="Senior"/>
    <s v="Completed"/>
    <n v="40"/>
    <n v="2"/>
    <x v="0"/>
    <n v="38"/>
    <n v="1"/>
  </r>
  <r>
    <n v="455"/>
    <x v="441"/>
    <x v="5"/>
    <x v="1"/>
    <s v="Mary Smith"/>
    <s v="USA"/>
    <s v="North"/>
    <x v="2"/>
    <x v="1"/>
    <x v="1"/>
    <n v="5"/>
    <s v="Ok"/>
    <n v="50"/>
    <x v="3"/>
    <x v="2"/>
    <s v="Senior"/>
    <s v="Pending"/>
    <n v="250"/>
    <n v="17.5"/>
    <x v="0"/>
    <n v="232.5"/>
    <n v="1"/>
  </r>
  <r>
    <n v="456"/>
    <x v="442"/>
    <x v="5"/>
    <x v="1"/>
    <s v="Alex Brown"/>
    <s v="USA"/>
    <s v="South"/>
    <x v="1"/>
    <x v="0"/>
    <x v="0"/>
    <n v="1"/>
    <s v="Ok"/>
    <n v="300"/>
    <x v="0"/>
    <x v="1"/>
    <s v="Senior"/>
    <s v="Completed"/>
    <n v="300"/>
    <n v="0"/>
    <x v="0"/>
    <n v="300"/>
    <n v="1"/>
  </r>
  <r>
    <n v="457"/>
    <x v="443"/>
    <x v="0"/>
    <x v="1"/>
    <s v="John Doe"/>
    <s v="USA"/>
    <s v="East"/>
    <x v="5"/>
    <x v="1"/>
    <x v="3"/>
    <n v="2"/>
    <s v="Ok"/>
    <n v="800"/>
    <x v="1"/>
    <x v="3"/>
    <s v="Mid"/>
    <s v="Pending"/>
    <n v="1600"/>
    <n v="0"/>
    <x v="2"/>
    <n v="1600"/>
    <n v="1"/>
  </r>
  <r>
    <n v="458"/>
    <x v="444"/>
    <x v="4"/>
    <x v="1"/>
    <s v="Susan Lee"/>
    <s v="USA"/>
    <s v="West"/>
    <x v="0"/>
    <x v="0"/>
    <x v="0"/>
    <n v="4"/>
    <s v="Ok"/>
    <n v="150"/>
    <x v="2"/>
    <x v="0"/>
    <s v="Junior"/>
    <s v="Completed"/>
    <n v="600"/>
    <n v="30"/>
    <x v="0"/>
    <n v="570"/>
    <n v="1"/>
  </r>
  <r>
    <n v="459"/>
    <x v="445"/>
    <x v="5"/>
    <x v="1"/>
    <s v="Mary Smith"/>
    <s v="USA"/>
    <s v="North"/>
    <x v="3"/>
    <x v="1"/>
    <x v="1"/>
    <n v="3"/>
    <s v="Ok"/>
    <n v="20"/>
    <x v="0"/>
    <x v="0"/>
    <s v="Senior"/>
    <s v="Completed"/>
    <n v="60"/>
    <n v="3"/>
    <x v="0"/>
    <n v="57"/>
    <n v="1"/>
  </r>
  <r>
    <n v="460"/>
    <x v="446"/>
    <x v="3"/>
    <x v="1"/>
    <s v="Alex Brown"/>
    <s v="USA"/>
    <s v="South"/>
    <x v="2"/>
    <x v="1"/>
    <x v="1"/>
    <n v="2"/>
    <s v="Ok"/>
    <n v="50"/>
    <x v="3"/>
    <x v="1"/>
    <s v="Senior"/>
    <s v="Pending"/>
    <n v="100"/>
    <n v="4"/>
    <x v="0"/>
    <n v="96"/>
    <n v="1"/>
  </r>
  <r>
    <n v="461"/>
    <x v="447"/>
    <x v="6"/>
    <x v="1"/>
    <s v="John Doe"/>
    <s v="USA"/>
    <s v="East"/>
    <x v="1"/>
    <x v="0"/>
    <x v="0"/>
    <n v="5"/>
    <s v="Ok"/>
    <n v="300"/>
    <x v="0"/>
    <x v="3"/>
    <s v="Senior"/>
    <s v="Completed"/>
    <n v="1500"/>
    <n v="90"/>
    <x v="2"/>
    <n v="1410"/>
    <n v="1"/>
  </r>
  <r>
    <n v="462"/>
    <x v="448"/>
    <x v="11"/>
    <x v="1"/>
    <s v="Susan Lee"/>
    <s v="USA"/>
    <s v="West"/>
    <x v="5"/>
    <x v="1"/>
    <x v="3"/>
    <n v="2"/>
    <s v="Ok"/>
    <n v="800"/>
    <x v="1"/>
    <x v="0"/>
    <s v="Mid"/>
    <s v="Pending"/>
    <n v="1600"/>
    <n v="80"/>
    <x v="2"/>
    <n v="1520"/>
    <n v="1"/>
  </r>
  <r>
    <n v="463"/>
    <x v="449"/>
    <x v="7"/>
    <x v="1"/>
    <s v="Mary Smith"/>
    <s v="USA"/>
    <s v="North"/>
    <x v="0"/>
    <x v="0"/>
    <x v="0"/>
    <n v="1"/>
    <s v="Ok"/>
    <n v="150"/>
    <x v="2"/>
    <x v="0"/>
    <s v="Junior"/>
    <s v="Completed"/>
    <n v="150"/>
    <n v="0"/>
    <x v="0"/>
    <n v="150"/>
    <n v="1"/>
  </r>
  <r>
    <n v="464"/>
    <x v="450"/>
    <x v="1"/>
    <x v="1"/>
    <s v="Alex Brown"/>
    <s v="USA"/>
    <s v="South"/>
    <x v="3"/>
    <x v="1"/>
    <x v="1"/>
    <n v="4"/>
    <s v="Ok"/>
    <n v="20"/>
    <x v="0"/>
    <x v="0"/>
    <s v="Senior"/>
    <s v="Completed"/>
    <n v="80"/>
    <n v="4"/>
    <x v="0"/>
    <n v="76"/>
    <n v="1"/>
  </r>
  <r>
    <n v="465"/>
    <x v="451"/>
    <x v="8"/>
    <x v="1"/>
    <s v="John Doe"/>
    <s v="USA"/>
    <s v="East"/>
    <x v="2"/>
    <x v="1"/>
    <x v="1"/>
    <n v="3"/>
    <s v="Ok"/>
    <n v="50"/>
    <x v="3"/>
    <x v="2"/>
    <s v="Senior"/>
    <s v="Pending"/>
    <n v="150"/>
    <n v="10.5"/>
    <x v="0"/>
    <n v="139.5"/>
    <n v="1"/>
  </r>
  <r>
    <n v="466"/>
    <x v="452"/>
    <x v="2"/>
    <x v="1"/>
    <s v="Susan Lee"/>
    <s v="USA"/>
    <s v="West"/>
    <x v="1"/>
    <x v="0"/>
    <x v="0"/>
    <n v="2"/>
    <s v="Ok"/>
    <n v="300"/>
    <x v="0"/>
    <x v="1"/>
    <s v="Senior"/>
    <s v="Completed"/>
    <n v="600"/>
    <n v="24"/>
    <x v="0"/>
    <n v="576"/>
    <n v="1"/>
  </r>
  <r>
    <n v="467"/>
    <x v="453"/>
    <x v="9"/>
    <x v="1"/>
    <s v="Mary Smith"/>
    <s v="USA"/>
    <s v="North"/>
    <x v="5"/>
    <x v="1"/>
    <x v="3"/>
    <n v="5"/>
    <s v="Ok"/>
    <n v="800"/>
    <x v="1"/>
    <x v="3"/>
    <s v="Mid"/>
    <s v="Pending"/>
    <n v="4000"/>
    <n v="240"/>
    <x v="3"/>
    <n v="3760"/>
    <n v="1"/>
  </r>
  <r>
    <n v="468"/>
    <x v="454"/>
    <x v="10"/>
    <x v="1"/>
    <s v="Alex Brown"/>
    <s v="USA"/>
    <s v="South"/>
    <x v="0"/>
    <x v="0"/>
    <x v="0"/>
    <n v="3"/>
    <s v="Ok"/>
    <n v="150"/>
    <x v="2"/>
    <x v="0"/>
    <s v="Junior"/>
    <s v="Completed"/>
    <n v="450"/>
    <n v="22.5"/>
    <x v="0"/>
    <n v="427.5"/>
    <n v="1"/>
  </r>
  <r>
    <n v="469"/>
    <x v="455"/>
    <x v="3"/>
    <x v="1"/>
    <s v="John Doe"/>
    <s v="USA"/>
    <s v="East"/>
    <x v="3"/>
    <x v="1"/>
    <x v="1"/>
    <n v="1"/>
    <s v="Ok"/>
    <n v="20"/>
    <x v="0"/>
    <x v="0"/>
    <s v="Senior"/>
    <s v="Completed"/>
    <n v="20"/>
    <n v="0"/>
    <x v="0"/>
    <n v="20"/>
    <n v="1"/>
  </r>
  <r>
    <n v="470"/>
    <x v="456"/>
    <x v="3"/>
    <x v="1"/>
    <s v="Susan Lee"/>
    <s v="USA"/>
    <s v="West"/>
    <x v="2"/>
    <x v="1"/>
    <x v="1"/>
    <n v="4"/>
    <s v="Ok"/>
    <n v="50"/>
    <x v="3"/>
    <x v="1"/>
    <s v="Senior"/>
    <s v="Pending"/>
    <n v="200"/>
    <n v="8"/>
    <x v="0"/>
    <n v="192"/>
    <n v="1"/>
  </r>
  <r>
    <n v="471"/>
    <x v="457"/>
    <x v="3"/>
    <x v="1"/>
    <s v="Mary Smith"/>
    <s v="USA"/>
    <s v="North"/>
    <x v="1"/>
    <x v="0"/>
    <x v="0"/>
    <n v="2"/>
    <s v="Ok"/>
    <n v="300"/>
    <x v="0"/>
    <x v="3"/>
    <s v="Senior"/>
    <s v="Completed"/>
    <n v="600"/>
    <n v="0"/>
    <x v="0"/>
    <n v="600"/>
    <n v="1"/>
  </r>
  <r>
    <n v="472"/>
    <x v="458"/>
    <x v="3"/>
    <x v="1"/>
    <s v="Alex Brown"/>
    <s v="USA"/>
    <s v="South"/>
    <x v="5"/>
    <x v="1"/>
    <x v="3"/>
    <n v="3"/>
    <s v="Ok"/>
    <n v="800"/>
    <x v="1"/>
    <x v="0"/>
    <s v="Mid"/>
    <s v="Pending"/>
    <n v="2400"/>
    <n v="120"/>
    <x v="3"/>
    <n v="2280"/>
    <n v="1"/>
  </r>
  <r>
    <n v="473"/>
    <x v="459"/>
    <x v="3"/>
    <x v="1"/>
    <s v="John Doe"/>
    <s v="USA"/>
    <s v="East"/>
    <x v="0"/>
    <x v="0"/>
    <x v="0"/>
    <n v="2"/>
    <s v="Ok"/>
    <n v="150"/>
    <x v="2"/>
    <x v="0"/>
    <s v="Junior"/>
    <s v="Completed"/>
    <n v="300"/>
    <n v="15"/>
    <x v="0"/>
    <n v="285"/>
    <n v="1"/>
  </r>
  <r>
    <n v="474"/>
    <x v="460"/>
    <x v="3"/>
    <x v="1"/>
    <s v="Susan Lee"/>
    <s v="USA"/>
    <s v="West"/>
    <x v="3"/>
    <x v="1"/>
    <x v="1"/>
    <n v="5"/>
    <s v="Ok"/>
    <n v="20"/>
    <x v="0"/>
    <x v="0"/>
    <s v="Senior"/>
    <s v="Completed"/>
    <n v="100"/>
    <n v="5"/>
    <x v="0"/>
    <n v="95"/>
    <n v="1"/>
  </r>
  <r>
    <n v="475"/>
    <x v="461"/>
    <x v="3"/>
    <x v="1"/>
    <s v="Mary Smith"/>
    <s v="USA"/>
    <s v="North"/>
    <x v="2"/>
    <x v="1"/>
    <x v="1"/>
    <n v="2"/>
    <s v="Ok"/>
    <n v="50"/>
    <x v="3"/>
    <x v="2"/>
    <s v="Senior"/>
    <s v="Pending"/>
    <n v="100"/>
    <n v="0"/>
    <x v="0"/>
    <n v="100"/>
    <n v="1"/>
  </r>
  <r>
    <n v="476"/>
    <x v="462"/>
    <x v="3"/>
    <x v="1"/>
    <s v="Alex Brown"/>
    <s v="USA"/>
    <s v="South"/>
    <x v="1"/>
    <x v="0"/>
    <x v="0"/>
    <n v="1"/>
    <s v="Ok"/>
    <n v="300"/>
    <x v="0"/>
    <x v="1"/>
    <s v="Senior"/>
    <s v="Completed"/>
    <n v="300"/>
    <n v="0"/>
    <x v="0"/>
    <n v="300"/>
    <n v="1"/>
  </r>
  <r>
    <n v="477"/>
    <x v="463"/>
    <x v="3"/>
    <x v="1"/>
    <s v="John Doe"/>
    <s v="USA"/>
    <s v="East"/>
    <x v="5"/>
    <x v="1"/>
    <x v="3"/>
    <n v="4"/>
    <s v="Ok"/>
    <n v="800"/>
    <x v="1"/>
    <x v="3"/>
    <s v="Mid"/>
    <s v="Pending"/>
    <n v="3200"/>
    <n v="192"/>
    <x v="3"/>
    <n v="3008"/>
    <n v="1"/>
  </r>
  <r>
    <n v="478"/>
    <x v="464"/>
    <x v="3"/>
    <x v="1"/>
    <s v="Susan Lee"/>
    <s v="USA"/>
    <s v="West"/>
    <x v="0"/>
    <x v="0"/>
    <x v="0"/>
    <n v="2"/>
    <s v="Ok"/>
    <n v="150"/>
    <x v="2"/>
    <x v="0"/>
    <s v="Junior"/>
    <s v="Completed"/>
    <n v="300"/>
    <n v="15"/>
    <x v="0"/>
    <n v="285"/>
    <n v="1"/>
  </r>
  <r>
    <n v="479"/>
    <x v="465"/>
    <x v="3"/>
    <x v="1"/>
    <s v="Mary Smith"/>
    <s v="USA"/>
    <s v="North"/>
    <x v="3"/>
    <x v="1"/>
    <x v="1"/>
    <n v="3"/>
    <s v="Ok"/>
    <n v="20"/>
    <x v="0"/>
    <x v="0"/>
    <s v="Senior"/>
    <s v="Completed"/>
    <n v="60"/>
    <n v="3"/>
    <x v="0"/>
    <n v="57"/>
    <n v="1"/>
  </r>
  <r>
    <n v="480"/>
    <x v="466"/>
    <x v="3"/>
    <x v="1"/>
    <s v="Alex Brown"/>
    <s v="USA"/>
    <s v="South"/>
    <x v="2"/>
    <x v="1"/>
    <x v="1"/>
    <n v="1"/>
    <s v="Ok"/>
    <n v="50"/>
    <x v="3"/>
    <x v="1"/>
    <s v="Senior"/>
    <s v="Pending"/>
    <n v="50"/>
    <n v="0"/>
    <x v="0"/>
    <n v="50"/>
    <n v="1"/>
  </r>
  <r>
    <n v="481"/>
    <x v="467"/>
    <x v="3"/>
    <x v="1"/>
    <s v="John Doe"/>
    <s v="USA"/>
    <s v="East"/>
    <x v="1"/>
    <x v="0"/>
    <x v="0"/>
    <n v="5"/>
    <s v="Ok"/>
    <n v="300"/>
    <x v="0"/>
    <x v="3"/>
    <s v="Senior"/>
    <s v="Completed"/>
    <n v="1500"/>
    <n v="90"/>
    <x v="2"/>
    <n v="1410"/>
    <n v="1"/>
  </r>
  <r>
    <n v="482"/>
    <x v="468"/>
    <x v="3"/>
    <x v="1"/>
    <s v="Susan Lee"/>
    <s v="USA"/>
    <s v="West"/>
    <x v="5"/>
    <x v="1"/>
    <x v="3"/>
    <n v="2"/>
    <s v="Ok"/>
    <n v="800"/>
    <x v="1"/>
    <x v="0"/>
    <s v="Mid"/>
    <s v="Pending"/>
    <n v="1600"/>
    <n v="80"/>
    <x v="2"/>
    <n v="1520"/>
    <n v="1"/>
  </r>
  <r>
    <n v="483"/>
    <x v="469"/>
    <x v="3"/>
    <x v="1"/>
    <s v="Mary Smith"/>
    <s v="USA"/>
    <s v="North"/>
    <x v="0"/>
    <x v="0"/>
    <x v="0"/>
    <n v="4"/>
    <s v="Ok"/>
    <n v="150"/>
    <x v="2"/>
    <x v="0"/>
    <s v="Junior"/>
    <s v="Completed"/>
    <n v="600"/>
    <n v="30"/>
    <x v="0"/>
    <n v="570"/>
    <n v="1"/>
  </r>
  <r>
    <n v="484"/>
    <x v="470"/>
    <x v="3"/>
    <x v="1"/>
    <s v="Alex Brown"/>
    <s v="USA"/>
    <s v="South"/>
    <x v="3"/>
    <x v="1"/>
    <x v="1"/>
    <n v="2"/>
    <s v="Ok"/>
    <n v="20"/>
    <x v="0"/>
    <x v="0"/>
    <s v="Senior"/>
    <s v="Completed"/>
    <n v="40"/>
    <n v="2"/>
    <x v="0"/>
    <n v="38"/>
    <n v="1"/>
  </r>
  <r>
    <n v="485"/>
    <x v="471"/>
    <x v="3"/>
    <x v="1"/>
    <s v="John Doe"/>
    <s v="USA"/>
    <s v="East"/>
    <x v="2"/>
    <x v="1"/>
    <x v="1"/>
    <n v="3"/>
    <s v="Ok"/>
    <n v="50"/>
    <x v="3"/>
    <x v="2"/>
    <s v="Senior"/>
    <s v="Pending"/>
    <n v="150"/>
    <n v="10.5"/>
    <x v="0"/>
    <n v="139.5"/>
    <n v="1"/>
  </r>
  <r>
    <n v="486"/>
    <x v="472"/>
    <x v="3"/>
    <x v="1"/>
    <s v="Susan Lee"/>
    <s v="USA"/>
    <s v="West"/>
    <x v="1"/>
    <x v="0"/>
    <x v="0"/>
    <n v="2"/>
    <s v="Ok"/>
    <n v="300"/>
    <x v="0"/>
    <x v="1"/>
    <s v="Senior"/>
    <s v="Completed"/>
    <n v="600"/>
    <n v="24"/>
    <x v="0"/>
    <n v="576"/>
    <n v="1"/>
  </r>
  <r>
    <n v="487"/>
    <x v="473"/>
    <x v="0"/>
    <x v="1"/>
    <s v="Mary Smith"/>
    <s v="USA"/>
    <s v="North"/>
    <x v="5"/>
    <x v="1"/>
    <x v="3"/>
    <n v="1"/>
    <s v="Ok"/>
    <n v="800"/>
    <x v="1"/>
    <x v="3"/>
    <s v="Mid"/>
    <s v="Pending"/>
    <n v="800"/>
    <n v="0"/>
    <x v="0"/>
    <n v="800"/>
    <n v="1"/>
  </r>
  <r>
    <n v="488"/>
    <x v="474"/>
    <x v="4"/>
    <x v="1"/>
    <s v="Alex Brown"/>
    <s v="USA"/>
    <s v="South"/>
    <x v="0"/>
    <x v="0"/>
    <x v="0"/>
    <n v="3"/>
    <s v="Ok"/>
    <n v="150"/>
    <x v="2"/>
    <x v="0"/>
    <s v="Junior"/>
    <s v="Completed"/>
    <n v="450"/>
    <n v="22.5"/>
    <x v="0"/>
    <n v="427.5"/>
    <n v="1"/>
  </r>
  <r>
    <n v="489"/>
    <x v="475"/>
    <x v="5"/>
    <x v="1"/>
    <s v="John Doe"/>
    <s v="USA"/>
    <s v="East"/>
    <x v="3"/>
    <x v="1"/>
    <x v="1"/>
    <n v="2"/>
    <s v="Ok"/>
    <n v="20"/>
    <x v="0"/>
    <x v="0"/>
    <s v="Senior"/>
    <s v="Completed"/>
    <n v="40"/>
    <n v="2"/>
    <x v="0"/>
    <n v="38"/>
    <n v="1"/>
  </r>
  <r>
    <n v="490"/>
    <x v="476"/>
    <x v="3"/>
    <x v="1"/>
    <s v="Susan Lee"/>
    <s v="USA"/>
    <s v="West"/>
    <x v="2"/>
    <x v="1"/>
    <x v="1"/>
    <n v="5"/>
    <s v="Ok"/>
    <n v="50"/>
    <x v="3"/>
    <x v="1"/>
    <s v="Senior"/>
    <s v="Pending"/>
    <n v="250"/>
    <n v="10"/>
    <x v="0"/>
    <n v="240"/>
    <n v="1"/>
  </r>
  <r>
    <n v="491"/>
    <x v="477"/>
    <x v="6"/>
    <x v="1"/>
    <s v="Mary Smith"/>
    <s v="USA"/>
    <s v="North"/>
    <x v="1"/>
    <x v="0"/>
    <x v="0"/>
    <n v="2"/>
    <s v="Ok"/>
    <n v="300"/>
    <x v="0"/>
    <x v="3"/>
    <s v="Senior"/>
    <s v="Completed"/>
    <n v="600"/>
    <n v="0"/>
    <x v="0"/>
    <n v="600"/>
    <n v="1"/>
  </r>
  <r>
    <n v="492"/>
    <x v="478"/>
    <x v="11"/>
    <x v="1"/>
    <s v="Alex Brown"/>
    <s v="USA"/>
    <s v="South"/>
    <x v="5"/>
    <x v="1"/>
    <x v="3"/>
    <n v="4"/>
    <s v="Ok"/>
    <n v="800"/>
    <x v="1"/>
    <x v="0"/>
    <s v="Mid"/>
    <s v="Pending"/>
    <n v="3200"/>
    <n v="160"/>
    <x v="3"/>
    <n v="3040"/>
    <n v="1"/>
  </r>
  <r>
    <n v="493"/>
    <x v="479"/>
    <x v="7"/>
    <x v="1"/>
    <s v="John Doe"/>
    <s v="USA"/>
    <s v="East"/>
    <x v="0"/>
    <x v="0"/>
    <x v="0"/>
    <n v="1"/>
    <s v="Ok"/>
    <n v="150"/>
    <x v="2"/>
    <x v="0"/>
    <s v="Junior"/>
    <s v="Completed"/>
    <n v="150"/>
    <n v="0"/>
    <x v="0"/>
    <n v="150"/>
    <n v="1"/>
  </r>
  <r>
    <n v="494"/>
    <x v="480"/>
    <x v="1"/>
    <x v="1"/>
    <s v="Susan Lee"/>
    <s v="USA"/>
    <s v="West"/>
    <x v="3"/>
    <x v="1"/>
    <x v="1"/>
    <n v="3"/>
    <s v="Ok"/>
    <n v="20"/>
    <x v="0"/>
    <x v="0"/>
    <s v="Senior"/>
    <s v="Completed"/>
    <n v="60"/>
    <n v="3"/>
    <x v="0"/>
    <n v="57"/>
    <n v="1"/>
  </r>
  <r>
    <n v="495"/>
    <x v="481"/>
    <x v="8"/>
    <x v="1"/>
    <s v="Mary Smith"/>
    <s v="USA"/>
    <s v="North"/>
    <x v="2"/>
    <x v="1"/>
    <x v="1"/>
    <n v="2"/>
    <s v="Ok"/>
    <n v="50"/>
    <x v="3"/>
    <x v="2"/>
    <s v="Senior"/>
    <s v="Pending"/>
    <n v="100"/>
    <n v="0"/>
    <x v="0"/>
    <n v="100"/>
    <n v="1"/>
  </r>
  <r>
    <n v="496"/>
    <x v="482"/>
    <x v="2"/>
    <x v="1"/>
    <s v="Alex Brown"/>
    <s v="USA"/>
    <s v="South"/>
    <x v="1"/>
    <x v="0"/>
    <x v="0"/>
    <n v="5"/>
    <s v="Ok"/>
    <n v="300"/>
    <x v="0"/>
    <x v="1"/>
    <s v="Senior"/>
    <s v="Completed"/>
    <n v="1500"/>
    <n v="60"/>
    <x v="2"/>
    <n v="1440"/>
    <n v="1"/>
  </r>
  <r>
    <n v="497"/>
    <x v="483"/>
    <x v="9"/>
    <x v="1"/>
    <s v="John Doe"/>
    <s v="USA"/>
    <s v="East"/>
    <x v="5"/>
    <x v="1"/>
    <x v="3"/>
    <n v="2"/>
    <s v="Ok"/>
    <n v="800"/>
    <x v="1"/>
    <x v="3"/>
    <s v="Mid"/>
    <s v="Pending"/>
    <n v="1600"/>
    <n v="0"/>
    <x v="2"/>
    <n v="1600"/>
    <n v="1"/>
  </r>
  <r>
    <n v="498"/>
    <x v="484"/>
    <x v="10"/>
    <x v="1"/>
    <s v="Susan Lee"/>
    <s v="USA"/>
    <s v="West"/>
    <x v="0"/>
    <x v="0"/>
    <x v="0"/>
    <n v="4"/>
    <s v="Ok"/>
    <n v="150"/>
    <x v="2"/>
    <x v="0"/>
    <s v="Junior"/>
    <s v="Completed"/>
    <n v="600"/>
    <n v="30"/>
    <x v="0"/>
    <n v="570"/>
    <n v="1"/>
  </r>
  <r>
    <n v="499"/>
    <x v="485"/>
    <x v="6"/>
    <x v="1"/>
    <s v="Mary Smith"/>
    <s v="USA"/>
    <s v="North"/>
    <x v="3"/>
    <x v="1"/>
    <x v="1"/>
    <n v="1"/>
    <s v="Ok"/>
    <n v="20"/>
    <x v="0"/>
    <x v="0"/>
    <s v="Senior"/>
    <s v="Completed"/>
    <n v="20"/>
    <n v="0"/>
    <x v="0"/>
    <n v="20"/>
    <n v="1"/>
  </r>
  <r>
    <n v="500"/>
    <x v="486"/>
    <x v="6"/>
    <x v="1"/>
    <s v="Alex Brown"/>
    <s v="USA"/>
    <s v="South"/>
    <x v="2"/>
    <x v="1"/>
    <x v="1"/>
    <n v="3"/>
    <s v="Ok"/>
    <n v="50"/>
    <x v="3"/>
    <x v="1"/>
    <s v="Senior"/>
    <s v="Pending"/>
    <n v="150"/>
    <n v="6"/>
    <x v="0"/>
    <n v="14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78287A-FB6E-447B-8EA0-574222AABF7F}" name="PivotTable13"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8" rowHeaderCaption="Month" colHeaderCaption="Category">
  <location ref="K40:L53"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axis="axisRow" showAll="0">
      <items count="13">
        <item x="0"/>
        <item x="4"/>
        <item x="5"/>
        <item x="3"/>
        <item x="6"/>
        <item x="11"/>
        <item x="7"/>
        <item x="1"/>
        <item x="8"/>
        <item x="2"/>
        <item x="9"/>
        <item x="1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Sum of Net Sales" fld="20" baseField="0" baseItem="0" numFmtId="165"/>
  </dataFields>
  <formats count="1">
    <format dxfId="0">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D2D3AF-4E81-4FD0-848D-B9E142548DCD}" name="PivotTable16"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0" rowHeaderCaption="Year" colHeaderCaption="Category">
  <location ref="O61:P64"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axis="axisRow"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showAll="0"/>
    <pivotField showAll="0"/>
    <pivotField dragToRow="0" dragToCol="0" dragToPage="0" showAll="0" defaultSubtotal="0"/>
    <pivotField dataField="1" dragToRow="0" dragToCol="0" dragToPage="0" showAll="0" defaultSubtotal="0"/>
  </pivotFields>
  <rowFields count="1">
    <field x="3"/>
  </rowFields>
  <rowItems count="3">
    <i>
      <x/>
    </i>
    <i>
      <x v="1"/>
    </i>
    <i t="grand">
      <x/>
    </i>
  </rowItems>
  <colItems count="1">
    <i/>
  </colItems>
  <dataFields count="1">
    <dataField name="Sum of AOV" fld="23"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B5E49D-9649-4C02-B66C-0E7AB8008F1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Region">
  <location ref="B3:E8" firstHeaderRow="0" firstDataRow="1" firstDataCol="1"/>
  <pivotFields count="24">
    <pivotField dataField="1"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1" showAll="0"/>
    <pivotField showAll="0">
      <items count="5">
        <item x="0"/>
        <item x="1"/>
        <item x="2"/>
        <item x="3"/>
        <item t="default"/>
      </items>
    </pivotField>
    <pivotField axis="axisRow" showAll="0">
      <items count="5">
        <item x="0"/>
        <item x="1"/>
        <item x="3"/>
        <item x="2"/>
        <item t="default"/>
      </items>
    </pivotField>
    <pivotField showAll="0"/>
    <pivotField showAll="0"/>
    <pivotField showAll="0"/>
    <pivotField dataField="1"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4"/>
  </rowFields>
  <rowItems count="5">
    <i>
      <x/>
    </i>
    <i>
      <x v="1"/>
    </i>
    <i>
      <x v="2"/>
    </i>
    <i>
      <x v="3"/>
    </i>
    <i t="grand">
      <x/>
    </i>
  </rowItems>
  <colFields count="1">
    <field x="-2"/>
  </colFields>
  <colItems count="3">
    <i>
      <x/>
    </i>
    <i i="1">
      <x v="1"/>
    </i>
    <i i="2">
      <x v="2"/>
    </i>
  </colItems>
  <dataFields count="3">
    <dataField name="Total Net Sales" fld="20" baseField="14" baseItem="0"/>
    <dataField name="Total Orders" fld="0" subtotal="count" baseField="14" baseItem="0"/>
    <dataField name="Sum of Discount" fld="18"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5A90A9-36CE-424A-8470-77ABD2245DA0}" name="PivotTable3"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rowHeaderCaption="Manufacturer" colHeaderCaption="Category">
  <location ref="B11:F18" firstHeaderRow="1" firstDataRow="3"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axis="axisCol" showAll="0">
      <items count="3">
        <item x="1"/>
        <item x="0"/>
        <item t="default"/>
      </items>
    </pivotField>
    <pivotField axis="axisRow" showAll="0">
      <items count="5">
        <item x="3"/>
        <item x="2"/>
        <item x="0"/>
        <item x="1"/>
        <item t="default"/>
      </items>
    </pivotField>
    <pivotField dataField="1"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9"/>
  </rowFields>
  <rowItems count="5">
    <i>
      <x/>
    </i>
    <i>
      <x v="1"/>
    </i>
    <i>
      <x v="2"/>
    </i>
    <i>
      <x v="3"/>
    </i>
    <i t="grand">
      <x/>
    </i>
  </rowItems>
  <colFields count="2">
    <field x="8"/>
    <field x="-2"/>
  </colFields>
  <colItems count="4">
    <i>
      <x/>
      <x/>
    </i>
    <i r="1" i="1">
      <x v="1"/>
    </i>
    <i>
      <x v="1"/>
      <x/>
    </i>
    <i r="1" i="1">
      <x v="1"/>
    </i>
  </colItems>
  <dataFields count="2">
    <dataField name="Quantity Sold" fld="10" baseField="9" baseItem="0"/>
    <dataField name="Total Net Sales" fld="20" baseField="9" baseItem="0"/>
  </dataFields>
  <formats count="3">
    <format dxfId="5">
      <pivotArea outline="0" collapsedLevelsAreSubtotals="1" fieldPosition="0"/>
    </format>
    <format dxfId="4">
      <pivotArea outline="0" collapsedLevelsAreSubtotals="1" fieldPosition="0">
        <references count="2">
          <reference field="4294967294" count="1" selected="0">
            <x v="1"/>
          </reference>
          <reference field="8" count="1" selected="0">
            <x v="0"/>
          </reference>
        </references>
      </pivotArea>
    </format>
    <format dxfId="3">
      <pivotArea outline="0" collapsedLevelsAreSubtotals="1" fieldPosition="0">
        <references count="2">
          <reference field="4294967294" count="1" selected="0">
            <x v="1"/>
          </reference>
          <reference field="8"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2C176A-788F-49ED-B007-29E4D852383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ales Rep" colHeaderCaption="Region">
  <location ref="B21:G27" firstHeaderRow="1" firstDataRow="2"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1" showAll="0"/>
    <pivotField axis="axisRow" showAll="0">
      <items count="5">
        <item x="0"/>
        <item x="1"/>
        <item x="2"/>
        <item x="3"/>
        <item t="default"/>
      </items>
    </pivotField>
    <pivotField axis="axisCol"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3"/>
  </rowFields>
  <rowItems count="5">
    <i>
      <x/>
    </i>
    <i>
      <x v="1"/>
    </i>
    <i>
      <x v="2"/>
    </i>
    <i>
      <x v="3"/>
    </i>
    <i t="grand">
      <x/>
    </i>
  </rowItems>
  <colFields count="1">
    <field x="14"/>
  </colFields>
  <colItems count="5">
    <i>
      <x/>
    </i>
    <i>
      <x v="1"/>
    </i>
    <i>
      <x v="2"/>
    </i>
    <i>
      <x v="3"/>
    </i>
    <i t="grand">
      <x/>
    </i>
  </colItems>
  <dataFields count="1">
    <dataField name="Total Net Sales" fld="20"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39B34C-44BB-44EF-8409-E206D140AC1C}" name="PivotTable14"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17" rowHeaderCaption="Region" colHeaderCaption="Category">
  <location ref="O40:P44"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44" showAll="0"/>
    <pivotField showAll="0">
      <items count="5">
        <item x="0"/>
        <item x="1"/>
        <item x="2"/>
        <item x="3"/>
        <item t="default"/>
      </items>
    </pivotField>
    <pivotField axis="axisRow"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4"/>
  </rowFields>
  <rowItems count="4">
    <i>
      <x/>
    </i>
    <i>
      <x v="1"/>
    </i>
    <i>
      <x v="2"/>
    </i>
    <i>
      <x v="3"/>
    </i>
  </rowItems>
  <colItems count="1">
    <i/>
  </colItems>
  <dataFields count="1">
    <dataField name="Sum of Net Sales" fld="20" baseField="0" baseItem="0" numFmtId="165"/>
  </dataFields>
  <formats count="1">
    <format dxfId="7">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3C93AD-346B-4B67-B887-D2B312E797AC}" name="PivotTable19"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3" rowHeaderCaption="Product" colHeaderCaption="Category">
  <location ref="K58:L64"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axis="axisRow" showAll="0" measureFilter="1">
      <items count="7">
        <item x="1"/>
        <item x="2"/>
        <item x="5"/>
        <item x="4"/>
        <item x="3"/>
        <item x="0"/>
        <item t="default"/>
      </items>
    </pivotField>
    <pivotField showAll="0">
      <items count="3">
        <item x="1"/>
        <item x="0"/>
        <item t="default"/>
      </items>
    </pivotField>
    <pivotField showAll="0"/>
    <pivotField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7"/>
  </rowFields>
  <rowItems count="6">
    <i>
      <x/>
    </i>
    <i>
      <x v="1"/>
    </i>
    <i>
      <x v="2"/>
    </i>
    <i>
      <x v="3"/>
    </i>
    <i>
      <x v="5"/>
    </i>
    <i t="grand">
      <x/>
    </i>
  </rowItems>
  <colItems count="1">
    <i/>
  </colItems>
  <dataFields count="1">
    <dataField name="Sum of Net Sales" fld="20" baseField="0" baseItem="0" numFmtId="165"/>
  </dataFields>
  <formats count="1">
    <format dxfId="8">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64813D-9F0A-455B-9411-86628E5EFDBF}" name="PivotTable15"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9" rowHeaderCaption="Sales Rep" colHeaderCaption="Category">
  <location ref="S40:T45"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44" showAll="0"/>
    <pivotField axis="axisRow"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showAll="0"/>
    <pivotField showAll="0"/>
    <pivotField dragToRow="0" dragToCol="0" dragToPage="0" showAll="0" defaultSubtotal="0"/>
    <pivotField dataField="1" dragToRow="0" dragToCol="0" dragToPage="0" showAll="0" defaultSubtotal="0"/>
  </pivotFields>
  <rowFields count="1">
    <field x="13"/>
  </rowFields>
  <rowItems count="5">
    <i>
      <x/>
    </i>
    <i>
      <x v="1"/>
    </i>
    <i>
      <x v="2"/>
    </i>
    <i>
      <x v="3"/>
    </i>
    <i t="grand">
      <x/>
    </i>
  </rowItems>
  <colItems count="1">
    <i/>
  </colItems>
  <dataFields count="1">
    <dataField name="Sum of AOV" fld="23" baseField="0" baseItem="0"/>
  </dataFields>
  <formats count="1">
    <format dxfId="9">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101011-1BB5-427B-B781-0B52F936356A}" name="PivotTable17"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42" rowHeaderCaption="Region" colHeaderCaption="Category">
  <location ref="S49:T54"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44" showAll="0"/>
    <pivotField showAll="0">
      <items count="5">
        <item x="0"/>
        <item x="1"/>
        <item x="2"/>
        <item x="3"/>
        <item t="default"/>
      </items>
    </pivotField>
    <pivotField axis="axisRow" showAll="0">
      <items count="5">
        <item x="0"/>
        <item x="1"/>
        <item x="3"/>
        <item x="2"/>
        <item t="default"/>
      </items>
    </pivotField>
    <pivotField showAll="0"/>
    <pivotField showAll="0"/>
    <pivotField showAll="0"/>
    <pivotField dataField="1" showAll="0"/>
    <pivotField showAll="0">
      <items count="5">
        <item x="3"/>
        <item x="0"/>
        <item x="2"/>
        <item x="1"/>
        <item t="default"/>
      </items>
    </pivotField>
    <pivotField showAll="0"/>
    <pivotField showAll="0"/>
    <pivotField dragToRow="0" dragToCol="0" dragToPage="0" showAll="0" defaultSubtotal="0"/>
    <pivotField dragToRow="0" dragToCol="0" dragToPage="0" showAll="0" defaultSubtotal="0"/>
  </pivotFields>
  <rowFields count="1">
    <field x="14"/>
  </rowFields>
  <rowItems count="5">
    <i>
      <x/>
    </i>
    <i>
      <x v="1"/>
    </i>
    <i>
      <x v="2"/>
    </i>
    <i>
      <x v="3"/>
    </i>
    <i t="grand">
      <x/>
    </i>
  </rowItems>
  <colItems count="1">
    <i/>
  </colItems>
  <dataFields count="1">
    <dataField name="Sum of Discount" fld="18" baseField="0" baseItem="0"/>
  </dataFields>
  <formats count="1">
    <format dxfId="10">
      <pivotArea outline="0" collapsedLevelsAreSubtotals="1" fieldPosition="0"/>
    </format>
  </format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80827D-8946-4339-8E47-66E18C1BA541}" name="PivotTable9"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5" rowHeaderCaption="Category" colHeaderCaption="Category">
  <location ref="O50:P53"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showAll="0"/>
    <pivotField showAll="0"/>
    <pivotField dragToRow="0" dragToCol="0" dragToPage="0" showAll="0" defaultSubtotal="0"/>
    <pivotField dragToRow="0" dragToCol="0" dragToPage="0" showAll="0" defaultSubtotal="0"/>
  </pivotFields>
  <rowFields count="1">
    <field x="8"/>
  </rowFields>
  <rowItems count="3">
    <i>
      <x/>
    </i>
    <i>
      <x v="1"/>
    </i>
    <i t="grand">
      <x/>
    </i>
  </rowItems>
  <colItems count="1">
    <i/>
  </colItems>
  <dataFields count="1">
    <dataField name="Quantity Sold" fld="10" baseField="8" baseItem="0"/>
  </dataFields>
  <formats count="1">
    <format dxfId="11">
      <pivotArea outline="0" collapsedLevelsAreSubtotals="1" fieldPosition="0"/>
    </format>
  </formats>
  <chartFormats count="8">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8"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8" count="1" selected="0">
            <x v="0"/>
          </reference>
        </references>
      </pivotArea>
    </chartFormat>
    <chartFormat chart="13" format="4">
      <pivotArea type="data" outline="0" fieldPosition="0">
        <references count="2">
          <reference field="4294967294" count="1" selected="0">
            <x v="0"/>
          </reference>
          <reference field="8" count="1" selected="0">
            <x v="1"/>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8" count="1" selected="0">
            <x v="0"/>
          </reference>
        </references>
      </pivotArea>
    </chartFormat>
    <chartFormat chart="14" format="7">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8FC678-2D8F-4F92-B48B-8BE883E970B3}" name="PivotTable20"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6" rowHeaderCaption="Product" colHeaderCaption="Category">
  <location ref="S61:T66"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measureFilter="1"/>
    <pivotField showAll="0">
      <items count="3">
        <item x="1"/>
        <item x="0"/>
        <item t="default"/>
      </items>
    </pivotField>
    <pivotField showAll="0"/>
    <pivotField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axis="axisRow"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9"/>
  </rowFields>
  <rowItems count="5">
    <i>
      <x/>
    </i>
    <i>
      <x v="1"/>
    </i>
    <i>
      <x v="2"/>
    </i>
    <i>
      <x v="3"/>
    </i>
    <i t="grand">
      <x/>
    </i>
  </rowItems>
  <colItems count="1">
    <i/>
  </colItems>
  <dataFields count="1">
    <dataField name="Sum of Net Sales" fld="20" baseField="0" baseItem="0" numFmtId="165"/>
  </dataFields>
  <formats count="1">
    <format dxfId="12">
      <pivotArea outline="0" collapsedLevelsAreSubtotals="1" fieldPosition="0"/>
    </format>
  </formats>
  <chartFormats count="5">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9" count="1" selected="0">
            <x v="0"/>
          </reference>
        </references>
      </pivotArea>
    </chartFormat>
    <chartFormat chart="15" format="7">
      <pivotArea type="data" outline="0" fieldPosition="0">
        <references count="2">
          <reference field="4294967294" count="1" selected="0">
            <x v="0"/>
          </reference>
          <reference field="19" count="1" selected="0">
            <x v="1"/>
          </reference>
        </references>
      </pivotArea>
    </chartFormat>
    <chartFormat chart="15" format="8">
      <pivotArea type="data" outline="0" fieldPosition="0">
        <references count="2">
          <reference field="4294967294" count="1" selected="0">
            <x v="0"/>
          </reference>
          <reference field="19" count="1" selected="0">
            <x v="2"/>
          </reference>
        </references>
      </pivotArea>
    </chartFormat>
    <chartFormat chart="15" format="9">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09C412-DD40-41E3-AE74-F5C4051C0E4E}" name="PivotTable1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2" rowHeaderCaption="Region">
  <location ref="B47:F50" firstHeaderRow="0" firstDataRow="1" firstDataCol="1"/>
  <pivotFields count="24">
    <pivotField dataField="1"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axis="axisRow" showAll="0">
      <items count="3">
        <item sd="0" x="0"/>
        <item sd="0" x="1"/>
        <item t="default"/>
      </items>
    </pivotField>
    <pivotField showAll="0"/>
    <pivotField showAll="0"/>
    <pivotField showAll="0"/>
    <pivotField showAll="0"/>
    <pivotField showAll="0">
      <items count="3">
        <item x="1"/>
        <item x="0"/>
        <item t="default"/>
      </items>
    </pivotField>
    <pivotField showAll="0"/>
    <pivotField showAll="0"/>
    <pivotField showAll="0"/>
    <pivotField numFmtId="1" showAll="0"/>
    <pivotField showAll="0">
      <items count="5">
        <item x="0"/>
        <item x="1"/>
        <item x="2"/>
        <item x="3"/>
        <item t="default"/>
      </items>
    </pivotField>
    <pivotField showAll="0">
      <items count="5">
        <item x="0"/>
        <item x="1"/>
        <item x="3"/>
        <item x="2"/>
        <item t="default"/>
      </items>
    </pivotField>
    <pivotField showAll="0"/>
    <pivotField showAll="0"/>
    <pivotField showAll="0"/>
    <pivotField dataField="1" showAll="0"/>
    <pivotField showAll="0">
      <items count="5">
        <item x="3"/>
        <item x="0"/>
        <item x="2"/>
        <item x="1"/>
        <item t="default"/>
      </items>
    </pivotField>
    <pivotField dataField="1" showAll="0"/>
    <pivotField showAll="0"/>
    <pivotField dragToRow="0" dragToCol="0" dragToPage="0" showAll="0" defaultSubtotal="0"/>
    <pivotField dataField="1" dragToRow="0" dragToCol="0" dragToPage="0" showAll="0" defaultSubtotal="0"/>
  </pivotFields>
  <rowFields count="1">
    <field x="3"/>
  </rowFields>
  <rowItems count="3">
    <i>
      <x/>
    </i>
    <i>
      <x v="1"/>
    </i>
    <i t="grand">
      <x/>
    </i>
  </rowItems>
  <colFields count="1">
    <field x="-2"/>
  </colFields>
  <colItems count="4">
    <i>
      <x/>
    </i>
    <i i="1">
      <x v="1"/>
    </i>
    <i i="2">
      <x v="2"/>
    </i>
    <i i="3">
      <x v="3"/>
    </i>
  </colItems>
  <dataFields count="4">
    <dataField name="Total Net Sales" fld="20" baseField="14" baseItem="0"/>
    <dataField name="Total Orders" fld="0" subtotal="count" baseField="14" baseItem="0"/>
    <dataField name="Sum of Discount" fld="18" baseField="0" baseItem="0"/>
    <dataField name="Avrage Order Value" fld="23" baseField="3" baseItem="0"/>
  </dataFields>
  <formats count="1">
    <format dxfId="13">
      <pivotArea outline="0" collapsedLevelsAreSubtotals="1" fieldPosition="0"/>
    </format>
  </formats>
  <chartFormats count="6">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3"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410462-B2B8-486C-A53A-456890168F66}"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location ref="J13:L24" firstHeaderRow="0"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axis="axisRow" showAll="0">
      <items count="7">
        <item x="1"/>
        <item x="2"/>
        <item x="5"/>
        <item x="4"/>
        <item x="3"/>
        <item x="0"/>
        <item t="default"/>
      </items>
    </pivotField>
    <pivotField showAll="0">
      <items count="3">
        <item x="1"/>
        <item x="0"/>
        <item t="default"/>
      </items>
    </pivotField>
    <pivotField axis="axisRow" showAll="0">
      <items count="5">
        <item x="3"/>
        <item x="2"/>
        <item x="0"/>
        <item x="1"/>
        <item t="default"/>
      </items>
    </pivotField>
    <pivotField dataField="1"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2">
    <field x="9"/>
    <field x="7"/>
  </rowFields>
  <rowItems count="11">
    <i>
      <x/>
    </i>
    <i r="1">
      <x v="2"/>
    </i>
    <i>
      <x v="1"/>
    </i>
    <i r="1">
      <x v="3"/>
    </i>
    <i>
      <x v="2"/>
    </i>
    <i r="1">
      <x/>
    </i>
    <i r="1">
      <x v="5"/>
    </i>
    <i>
      <x v="3"/>
    </i>
    <i r="1">
      <x v="1"/>
    </i>
    <i r="1">
      <x v="4"/>
    </i>
    <i t="grand">
      <x/>
    </i>
  </rowItems>
  <colFields count="1">
    <field x="-2"/>
  </colFields>
  <colItems count="2">
    <i>
      <x/>
    </i>
    <i i="1">
      <x v="1"/>
    </i>
  </colItems>
  <dataFields count="2">
    <dataField name="Quantity Sold" fld="10" baseField="7" baseItem="0" numFmtId="1"/>
    <dataField name="Total Net Sales" fld="20" baseField="7" baseItem="0" numFmtId="44"/>
  </dataFields>
  <formats count="2">
    <format dxfId="15">
      <pivotArea outline="0" collapsedLevelsAreSubtotals="1" fieldPosition="0">
        <references count="1">
          <reference field="4294967294" count="1" selected="0">
            <x v="1"/>
          </reference>
        </references>
      </pivotArea>
    </format>
    <format dxfId="1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2CC81FF-978E-44FA-8922-FBD856E1E3C9}" name="PivotTable5"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rowHeaderCaption="Sales Rep" colHeaderCaption="Region">
  <location ref="J3:R10" firstHeaderRow="1" firstDataRow="3"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1" showAll="0"/>
    <pivotField axis="axisRow" showAll="0">
      <items count="5">
        <item x="0"/>
        <item x="1"/>
        <item x="2"/>
        <item x="3"/>
        <item t="default"/>
      </items>
    </pivotField>
    <pivotField axis="axisCol" showAll="0">
      <items count="5">
        <item x="0"/>
        <item x="1"/>
        <item x="3"/>
        <item x="2"/>
        <item t="default"/>
      </items>
    </pivotField>
    <pivotField showAll="0"/>
    <pivotField showAll="0"/>
    <pivotField showAll="0"/>
    <pivotField dataField="1"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3"/>
  </rowFields>
  <rowItems count="5">
    <i>
      <x/>
    </i>
    <i>
      <x v="1"/>
    </i>
    <i>
      <x v="2"/>
    </i>
    <i>
      <x v="3"/>
    </i>
    <i t="grand">
      <x/>
    </i>
  </rowItems>
  <colFields count="2">
    <field x="14"/>
    <field x="-2"/>
  </colFields>
  <colItems count="8">
    <i>
      <x/>
      <x/>
    </i>
    <i r="1" i="1">
      <x v="1"/>
    </i>
    <i>
      <x v="1"/>
      <x/>
    </i>
    <i r="1" i="1">
      <x v="1"/>
    </i>
    <i>
      <x v="2"/>
      <x/>
    </i>
    <i r="1" i="1">
      <x v="1"/>
    </i>
    <i>
      <x v="3"/>
      <x/>
    </i>
    <i r="1" i="1">
      <x v="1"/>
    </i>
  </colItems>
  <dataFields count="2">
    <dataField name="Total Discount" fld="18" baseField="0" baseItem="0" numFmtId="44"/>
    <dataField name="Total Net Sales" fld="20" baseField="13"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74BA158B-5647-4420-9AEA-840980225FA3}" autoFormatId="16" applyNumberFormats="0" applyBorderFormats="0" applyFontFormats="0" applyPatternFormats="0" applyAlignmentFormats="0" applyWidthHeightFormats="0">
  <queryTableRefresh nextId="5">
    <queryTableFields count="4">
      <queryTableField id="1" name="Rep ID" tableColumnId="1"/>
      <queryTableField id="2" name="Sales Rep" tableColumnId="2"/>
      <queryTableField id="3" name="Region" tableColumnId="3"/>
      <queryTableField id="4" name="Sales Rep Level"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D107842A-EFA2-454A-A3E7-0C63E76481CB}" autoFormatId="16" applyNumberFormats="0" applyBorderFormats="0" applyFontFormats="0" applyPatternFormats="0" applyAlignmentFormats="0" applyWidthHeightFormats="0">
  <queryTableRefresh nextId="26">
    <queryTableFields count="22">
      <queryTableField id="1" name="OrderID" tableColumnId="1"/>
      <queryTableField id="2" name="OrderDate" tableColumnId="2"/>
      <queryTableField id="19" name="Month" tableColumnId="19"/>
      <queryTableField id="20" name="Year" tableColumnId="20"/>
      <queryTableField id="3" name="Customer Name" tableColumnId="3"/>
      <queryTableField id="4" name="Customer.Country" tableColumnId="4"/>
      <queryTableField id="5" name="Customer.Region" tableColumnId="5"/>
      <queryTableField id="6" name="Product" tableColumnId="6"/>
      <queryTableField id="7" name="Category" tableColumnId="7"/>
      <queryTableField id="8" name="Manufacturer" tableColumnId="8"/>
      <queryTableField id="9" name="Quantity" tableColumnId="9"/>
      <queryTableField id="10" name="Quantity Flag" tableColumnId="10"/>
      <queryTableField id="11" name="Unit Price" tableColumnId="11"/>
      <queryTableField id="12" name="Sales Rep" tableColumnId="12"/>
      <queryTableField id="13" name="Region" tableColumnId="13"/>
      <queryTableField id="14" name="Experience Level" tableColumnId="14"/>
      <queryTableField id="15" name="Order Status" tableColumnId="15"/>
      <queryTableField id="16" name="Total Sales" tableColumnId="16"/>
      <queryTableField id="17" name="Discount" tableColumnId="17"/>
      <queryTableField id="18" name="Order Category" tableColumnId="18"/>
      <queryTableField id="24" name="Net Sales" tableColumnId="22"/>
      <queryTableField id="25" name="Order Count" tableColumnId="2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E3C0247C-DABF-4480-A6BD-CE8F37F72969}" autoFormatId="16" applyNumberFormats="0" applyBorderFormats="0" applyFontFormats="0" applyPatternFormats="0" applyAlignmentFormats="0" applyWidthHeightFormats="0">
  <queryTableRefresh nextId="6">
    <queryTableFields count="5">
      <queryTableField id="1" name="Product ID" tableColumnId="1"/>
      <queryTableField id="2" name="Product" tableColumnId="2"/>
      <queryTableField id="3" name="Category" tableColumnId="3"/>
      <queryTableField id="4" name="Unit Price" tableColumnId="4"/>
      <queryTableField id="5" name="Product Company Nam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8212020A-20F8-47D9-93EF-623AA71CD3BC}" autoFormatId="16" applyNumberFormats="0" applyBorderFormats="0" applyFontFormats="0" applyPatternFormats="0" applyAlignmentFormats="0" applyWidthHeightFormats="0">
  <queryTableRefresh nextId="5">
    <queryTableFields count="4">
      <queryTableField id="1" name="Customer ID" tableColumnId="1"/>
      <queryTableField id="2" name="Customer Name" tableColumnId="2"/>
      <queryTableField id="3" name="Region" tableColumnId="3"/>
      <queryTableField id="4" name="Country"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37B5B4-F090-4FEF-933E-948CBB98E696}" sourceName="Region">
  <pivotTables>
    <pivotTable tabId="1" name="PivotTable1"/>
    <pivotTable tabId="1" name="PivotTable12"/>
    <pivotTable tabId="1" name="PivotTable13"/>
    <pivotTable tabId="1" name="PivotTable14"/>
    <pivotTable tabId="1" name="PivotTable15"/>
    <pivotTable tabId="1" name="PivotTable16"/>
    <pivotTable tabId="1" name="PivotTable17"/>
    <pivotTable tabId="1" name="PivotTable19"/>
    <pivotTable tabId="1" name="PivotTable20"/>
    <pivotTable tabId="1" name="PivotTable3"/>
    <pivotTable tabId="1" name="PivotTable4"/>
    <pivotTable tabId="1" name="PivotTable5"/>
    <pivotTable tabId="1" name="PivotTable8"/>
    <pivotTable tabId="1" name="PivotTable9"/>
  </pivotTables>
  <data>
    <tabular pivotCacheId="198937330">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74C818B6-A22C-43A8-AEFA-A7E32CA10962}" sourceName="Sales Rep">
  <pivotTables>
    <pivotTable tabId="1" name="PivotTable4"/>
    <pivotTable tabId="1" name="PivotTable1"/>
    <pivotTable tabId="1" name="PivotTable12"/>
    <pivotTable tabId="1" name="PivotTable13"/>
    <pivotTable tabId="1" name="PivotTable14"/>
    <pivotTable tabId="1" name="PivotTable15"/>
    <pivotTable tabId="1" name="PivotTable16"/>
    <pivotTable tabId="1" name="PivotTable17"/>
    <pivotTable tabId="1" name="PivotTable19"/>
    <pivotTable tabId="1" name="PivotTable20"/>
    <pivotTable tabId="1" name="PivotTable3"/>
    <pivotTable tabId="1" name="PivotTable5"/>
    <pivotTable tabId="1" name="PivotTable8"/>
    <pivotTable tabId="1" name="PivotTable9"/>
  </pivotTables>
  <data>
    <tabular pivotCacheId="198937330">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6BF40D-BA44-4A4E-A58E-9CD438A72B0F}" sourceName="Category">
  <pivotTables>
    <pivotTable tabId="1" name="PivotTable4"/>
    <pivotTable tabId="1" name="PivotTable1"/>
    <pivotTable tabId="1" name="PivotTable12"/>
    <pivotTable tabId="1" name="PivotTable13"/>
    <pivotTable tabId="1" name="PivotTable14"/>
    <pivotTable tabId="1" name="PivotTable15"/>
    <pivotTable tabId="1" name="PivotTable16"/>
    <pivotTable tabId="1" name="PivotTable17"/>
    <pivotTable tabId="1" name="PivotTable19"/>
    <pivotTable tabId="1" name="PivotTable20"/>
    <pivotTable tabId="1" name="PivotTable3"/>
    <pivotTable tabId="1" name="PivotTable5"/>
    <pivotTable tabId="1" name="PivotTable8"/>
    <pivotTable tabId="1" name="PivotTable9"/>
  </pivotTables>
  <data>
    <tabular pivotCacheId="19893733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Category" xr10:uid="{192881DB-E9D1-48F2-BB6E-CE766F899DE7}" sourceName="Order Category">
  <pivotTables>
    <pivotTable tabId="1" name="PivotTable20"/>
    <pivotTable tabId="1" name="PivotTable1"/>
    <pivotTable tabId="1" name="PivotTable12"/>
    <pivotTable tabId="1" name="PivotTable13"/>
    <pivotTable tabId="1" name="PivotTable14"/>
    <pivotTable tabId="1" name="PivotTable15"/>
    <pivotTable tabId="1" name="PivotTable16"/>
    <pivotTable tabId="1" name="PivotTable17"/>
    <pivotTable tabId="1" name="PivotTable19"/>
    <pivotTable tabId="1" name="PivotTable3"/>
    <pivotTable tabId="1" name="PivotTable4"/>
    <pivotTable tabId="1" name="PivotTable5"/>
    <pivotTable tabId="1" name="PivotTable8"/>
    <pivotTable tabId="1" name="PivotTable9"/>
  </pivotTables>
  <data>
    <tabular pivotCacheId="198937330">
      <items count="4">
        <i x="3" s="1"/>
        <i x="0" s="1"/>
        <i x="2"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060D86-0E94-41B2-8BB5-8DD058AB16C0}" cache="Slicer_Region" caption="Region" columnCount="4" showCaption="0" style="Slicer Style 1" rowHeight="247650"/>
  <slicer name="Sales Rep" xr10:uid="{1B526410-F176-427C-98EF-B9CCB67BC255}" cache="Slicer_Sales_Rep" caption="Sales Rep" showCaption="0" style="Slicer Style 1" rowHeight="247650"/>
  <slicer name="Category" xr10:uid="{6687EE6C-F07B-4E49-81F1-85004BA26619}" cache="Slicer_Category" caption="Category" showCaption="0" style="Slicer Style 1" rowHeight="247650"/>
  <slicer name="Order Category" xr10:uid="{D9A5244D-D56E-4880-A3DA-AC65551B06B4}" cache="Slicer_Order_Category" caption="Order Category" showCaption="0"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2923E8-8A6F-478F-A8AF-A308CD95EA72}" name="SalesRep" displayName="SalesRep" ref="A1:D16" tableType="queryTable" totalsRowShown="0">
  <autoFilter ref="A1:D16" xr:uid="{E92923E8-8A6F-478F-A8AF-A308CD95EA72}"/>
  <tableColumns count="4">
    <tableColumn id="1" xr3:uid="{A78F7254-E3D4-405E-9016-3763B15A2659}" uniqueName="1" name="Rep ID" queryTableFieldId="1" dataDxfId="44"/>
    <tableColumn id="2" xr3:uid="{44DE9B64-3DE9-42A5-B57F-46D178E9D63A}" uniqueName="2" name="Sales Rep" queryTableFieldId="2" dataDxfId="43"/>
    <tableColumn id="3" xr3:uid="{AE3E1415-E9AD-4A71-BFCE-D6D46911A66A}" uniqueName="3" name="Region" queryTableFieldId="3" dataDxfId="42"/>
    <tableColumn id="4" xr3:uid="{77521E12-5FEB-4AAC-86C4-AE301C918AA6}" uniqueName="4" name="Sales Rep Level" queryTableFieldId="4" dataDxfId="4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8EC0E9-DB82-4A6D-8003-3B631B29B2F4}" name="Retail_Sales_Data" displayName="Retail_Sales_Data" ref="A1:V501" tableType="queryTable" totalsRowShown="0">
  <autoFilter ref="A1:V501" xr:uid="{188EC0E9-DB82-4A6D-8003-3B631B29B2F4}"/>
  <tableColumns count="22">
    <tableColumn id="1" xr3:uid="{0D6A0AE0-B237-47F3-88F2-13F86D95D90F}" uniqueName="1" name="OrderID" queryTableFieldId="1"/>
    <tableColumn id="2" xr3:uid="{936D09A4-1349-4F29-8AED-360FC88FEC9D}" uniqueName="2" name="OrderDate" queryTableFieldId="2" dataDxfId="40"/>
    <tableColumn id="19" xr3:uid="{D4EDD6E0-4A9B-4E38-9853-37F29B43944D}" uniqueName="19" name="Month" queryTableFieldId="19" dataDxfId="39"/>
    <tableColumn id="20" xr3:uid="{C10B5138-B43B-4650-993C-70446095D01A}" uniqueName="20" name="Year" queryTableFieldId="20"/>
    <tableColumn id="3" xr3:uid="{46F759D0-2F3F-4D53-A3EC-C464A367D635}" uniqueName="3" name="Customer Name" queryTableFieldId="3" dataDxfId="38"/>
    <tableColumn id="4" xr3:uid="{7B4C4B20-9089-4C50-8F58-87789F09B631}" uniqueName="4" name="Customer.Country" queryTableFieldId="4" dataDxfId="37"/>
    <tableColumn id="5" xr3:uid="{10E1B17A-165B-4676-A07B-C6F89BB2E77F}" uniqueName="5" name="Customer.Region" queryTableFieldId="5" dataDxfId="36"/>
    <tableColumn id="6" xr3:uid="{3BDF6441-0DB5-406A-AD65-0EA45A304E4A}" uniqueName="6" name="Product" queryTableFieldId="6" dataDxfId="35"/>
    <tableColumn id="7" xr3:uid="{67141DF3-E8D1-413B-AF1C-29C6E835E1E6}" uniqueName="7" name="Category" queryTableFieldId="7" dataDxfId="34"/>
    <tableColumn id="8" xr3:uid="{552D7942-ABBB-40C8-8D25-C2784A5A1D12}" uniqueName="8" name="Manufacturer" queryTableFieldId="8" dataDxfId="33"/>
    <tableColumn id="9" xr3:uid="{5C66250F-555D-4054-ACC5-3A57678A82A8}" uniqueName="9" name="Quantity" queryTableFieldId="9" dataDxfId="32"/>
    <tableColumn id="10" xr3:uid="{A0B9269D-A975-4B60-996C-6E702DE085B4}" uniqueName="10" name="Quantity Flag" queryTableFieldId="10"/>
    <tableColumn id="11" xr3:uid="{07981C3C-E889-4C27-8798-26D7B823D2DC}" uniqueName="11" name="Unit Price" queryTableFieldId="11" dataDxfId="31"/>
    <tableColumn id="12" xr3:uid="{EBB0D704-2CB0-4E29-A576-19FAD622E28A}" uniqueName="12" name="Sales Rep" queryTableFieldId="12" dataDxfId="30"/>
    <tableColumn id="13" xr3:uid="{8D7F4297-7B38-434D-927D-301544FF3F45}" uniqueName="13" name="Region" queryTableFieldId="13" dataDxfId="29"/>
    <tableColumn id="14" xr3:uid="{CF550810-17FB-4841-B9B6-728E9816813F}" uniqueName="14" name="Experience Level" queryTableFieldId="14" dataDxfId="28"/>
    <tableColumn id="15" xr3:uid="{8ABDB238-E22B-44C5-AE68-97B41CE64BCC}" uniqueName="15" name="Order Status" queryTableFieldId="15" dataDxfId="27"/>
    <tableColumn id="16" xr3:uid="{5EE71A19-DBAF-4109-9F68-F86FC8C4B278}" uniqueName="16" name="Total Sales" queryTableFieldId="16" dataDxfId="26"/>
    <tableColumn id="17" xr3:uid="{D3ECB815-7BE3-41DB-BD53-F13BB9204E4F}" uniqueName="17" name="Discount" queryTableFieldId="17" dataDxfId="25"/>
    <tableColumn id="18" xr3:uid="{DFCC90BF-63EA-433B-B3AC-EBCBEA5D3B88}" uniqueName="18" name="Order Category" queryTableFieldId="18"/>
    <tableColumn id="22" xr3:uid="{97C7D7F0-879D-4163-96DE-FB4C2AB0C998}" uniqueName="22" name="Net Sales" queryTableFieldId="24"/>
    <tableColumn id="23" xr3:uid="{93ADA360-C795-43FE-B138-8015442558D9}" uniqueName="23" name="Order Count" queryTableField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374DC4-4F80-4516-8E3D-5B5A92A07858}" name="Product" displayName="Product" ref="A1:E21" tableType="queryTable" totalsRowShown="0">
  <autoFilter ref="A1:E21" xr:uid="{BA374DC4-4F80-4516-8E3D-5B5A92A07858}"/>
  <tableColumns count="5">
    <tableColumn id="1" xr3:uid="{C74B899C-2829-4290-81C3-B3570E21DC49}" uniqueName="1" name="Product ID" queryTableFieldId="1" dataDxfId="24"/>
    <tableColumn id="2" xr3:uid="{FA767370-A575-48CD-B096-68E747E7E9B6}" uniqueName="2" name="Product" queryTableFieldId="2" dataDxfId="23"/>
    <tableColumn id="3" xr3:uid="{A06F0EEB-E67B-4D68-AEF7-A9586B615BCF}" uniqueName="3" name="Category" queryTableFieldId="3" dataDxfId="22"/>
    <tableColumn id="4" xr3:uid="{5EF0C8C3-5E96-4BF3-B4AE-A49B03EEBEC0}" uniqueName="4" name="Unit Price" queryTableFieldId="4"/>
    <tableColumn id="5" xr3:uid="{C1B9D3C8-F198-48E9-9F0A-6878B0D4BA1B}" uniqueName="5" name="Product Company Name" queryTableFieldId="5" dataDxf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A6BC3C-F7D1-480A-9F12-B9DC3FB927A5}" name="Customer" displayName="Customer" ref="A1:D21" tableType="queryTable" totalsRowShown="0">
  <autoFilter ref="A1:D21" xr:uid="{08A6BC3C-F7D1-480A-9F12-B9DC3FB927A5}"/>
  <tableColumns count="4">
    <tableColumn id="1" xr3:uid="{0B622ECC-AB30-4F0B-A512-C102FD01463E}" uniqueName="1" name="Customer ID" queryTableFieldId="1" dataDxfId="20"/>
    <tableColumn id="2" xr3:uid="{6531669A-6576-4FC4-AD17-00C9D2815B05}" uniqueName="2" name="Customer Name" queryTableFieldId="2" dataDxfId="19"/>
    <tableColumn id="3" xr3:uid="{CED50659-F256-44BC-9A8F-CD97B3038799}" uniqueName="3" name="Region" queryTableFieldId="3" dataDxfId="18"/>
    <tableColumn id="4" xr3:uid="{4A1DDBA8-31E3-43F6-AA38-89FA24D9111F}" uniqueName="4" name="Country" queryTableFieldId="4" dataDxf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1100D093-C370-4186-8DE9-0257117A7D4C}" sourceName="OrderDate">
  <pivotTables>
    <pivotTable tabId="1" name="PivotTable13"/>
    <pivotTable tabId="1" name="PivotTable1"/>
    <pivotTable tabId="1" name="PivotTable12"/>
    <pivotTable tabId="1" name="PivotTable14"/>
    <pivotTable tabId="1" name="PivotTable15"/>
    <pivotTable tabId="1" name="PivotTable16"/>
    <pivotTable tabId="1" name="PivotTable17"/>
    <pivotTable tabId="1" name="PivotTable19"/>
    <pivotTable tabId="1" name="PivotTable20"/>
    <pivotTable tabId="1" name="PivotTable3"/>
    <pivotTable tabId="1" name="PivotTable4"/>
    <pivotTable tabId="1" name="PivotTable5"/>
    <pivotTable tabId="1" name="PivotTable8"/>
    <pivotTable tabId="1" name="PivotTable9"/>
  </pivotTables>
  <state minimalRefreshVersion="6" lastRefreshVersion="6" pivotCacheId="198937330"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96FB6424-34AB-4E5C-9C5D-F076E4A76E34}" cache="NativeTimeline_OrderDate" caption="OrderDate" level="0" selectionLevel="0" scrollPosition="2024-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9F4E3-3409-434A-9A7C-40FE398ED340}">
  <dimension ref="A1:D16"/>
  <sheetViews>
    <sheetView workbookViewId="0"/>
  </sheetViews>
  <sheetFormatPr defaultRowHeight="14.4" x14ac:dyDescent="0.3"/>
  <cols>
    <col min="1" max="1" width="8.5546875" bestFit="1" customWidth="1"/>
    <col min="2" max="2" width="14.33203125" bestFit="1" customWidth="1"/>
    <col min="3" max="3" width="8.77734375" bestFit="1" customWidth="1"/>
    <col min="4" max="4" width="16.109375" bestFit="1" customWidth="1"/>
  </cols>
  <sheetData>
    <row r="1" spans="1:4" x14ac:dyDescent="0.3">
      <c r="A1" t="s">
        <v>109</v>
      </c>
      <c r="B1" t="s">
        <v>110</v>
      </c>
      <c r="C1" t="s">
        <v>2</v>
      </c>
      <c r="D1" t="s">
        <v>111</v>
      </c>
    </row>
    <row r="2" spans="1:4" x14ac:dyDescent="0.3">
      <c r="A2" t="s">
        <v>112</v>
      </c>
      <c r="B2" t="s">
        <v>51</v>
      </c>
      <c r="C2" t="s">
        <v>6</v>
      </c>
      <c r="D2" t="s">
        <v>113</v>
      </c>
    </row>
    <row r="3" spans="1:4" x14ac:dyDescent="0.3">
      <c r="A3" t="s">
        <v>114</v>
      </c>
      <c r="B3" t="s">
        <v>47</v>
      </c>
      <c r="C3" t="s">
        <v>10</v>
      </c>
      <c r="D3" t="s">
        <v>115</v>
      </c>
    </row>
    <row r="4" spans="1:4" x14ac:dyDescent="0.3">
      <c r="A4" t="s">
        <v>116</v>
      </c>
      <c r="B4" t="s">
        <v>49</v>
      </c>
      <c r="C4" t="s">
        <v>13</v>
      </c>
      <c r="D4" t="s">
        <v>117</v>
      </c>
    </row>
    <row r="5" spans="1:4" x14ac:dyDescent="0.3">
      <c r="A5" t="s">
        <v>118</v>
      </c>
      <c r="B5" t="s">
        <v>45</v>
      </c>
      <c r="C5" t="s">
        <v>16</v>
      </c>
      <c r="D5" t="s">
        <v>113</v>
      </c>
    </row>
    <row r="6" spans="1:4" x14ac:dyDescent="0.3">
      <c r="A6" t="s">
        <v>119</v>
      </c>
      <c r="B6" t="s">
        <v>120</v>
      </c>
      <c r="C6" t="s">
        <v>6</v>
      </c>
      <c r="D6" t="s">
        <v>117</v>
      </c>
    </row>
    <row r="7" spans="1:4" x14ac:dyDescent="0.3">
      <c r="A7" t="s">
        <v>121</v>
      </c>
      <c r="B7" t="s">
        <v>9</v>
      </c>
      <c r="C7" t="s">
        <v>10</v>
      </c>
      <c r="D7" t="s">
        <v>115</v>
      </c>
    </row>
    <row r="8" spans="1:4" x14ac:dyDescent="0.3">
      <c r="A8" t="s">
        <v>122</v>
      </c>
      <c r="B8" t="s">
        <v>12</v>
      </c>
      <c r="C8" t="s">
        <v>13</v>
      </c>
      <c r="D8" t="s">
        <v>113</v>
      </c>
    </row>
    <row r="9" spans="1:4" x14ac:dyDescent="0.3">
      <c r="A9" t="s">
        <v>123</v>
      </c>
      <c r="B9" t="s">
        <v>15</v>
      </c>
      <c r="C9" t="s">
        <v>16</v>
      </c>
      <c r="D9" t="s">
        <v>115</v>
      </c>
    </row>
    <row r="10" spans="1:4" x14ac:dyDescent="0.3">
      <c r="A10" t="s">
        <v>124</v>
      </c>
      <c r="B10" t="s">
        <v>21</v>
      </c>
      <c r="C10" t="s">
        <v>6</v>
      </c>
      <c r="D10" t="s">
        <v>117</v>
      </c>
    </row>
    <row r="11" spans="1:4" x14ac:dyDescent="0.3">
      <c r="A11" t="s">
        <v>125</v>
      </c>
      <c r="B11" t="s">
        <v>23</v>
      </c>
      <c r="C11" t="s">
        <v>10</v>
      </c>
      <c r="D11" t="s">
        <v>113</v>
      </c>
    </row>
    <row r="12" spans="1:4" x14ac:dyDescent="0.3">
      <c r="A12" t="s">
        <v>126</v>
      </c>
      <c r="B12" t="s">
        <v>25</v>
      </c>
      <c r="C12" t="s">
        <v>13</v>
      </c>
      <c r="D12" t="s">
        <v>115</v>
      </c>
    </row>
    <row r="13" spans="1:4" x14ac:dyDescent="0.3">
      <c r="A13" t="s">
        <v>127</v>
      </c>
      <c r="B13" t="s">
        <v>27</v>
      </c>
      <c r="C13" t="s">
        <v>16</v>
      </c>
      <c r="D13" t="s">
        <v>117</v>
      </c>
    </row>
    <row r="14" spans="1:4" x14ac:dyDescent="0.3">
      <c r="A14" t="s">
        <v>128</v>
      </c>
      <c r="B14" t="s">
        <v>18</v>
      </c>
      <c r="C14" t="s">
        <v>6</v>
      </c>
      <c r="D14" t="s">
        <v>115</v>
      </c>
    </row>
    <row r="15" spans="1:4" x14ac:dyDescent="0.3">
      <c r="A15" t="s">
        <v>129</v>
      </c>
      <c r="B15" t="s">
        <v>34</v>
      </c>
      <c r="C15" t="s">
        <v>10</v>
      </c>
      <c r="D15" t="s">
        <v>113</v>
      </c>
    </row>
    <row r="16" spans="1:4" x14ac:dyDescent="0.3">
      <c r="A16" t="s">
        <v>130</v>
      </c>
      <c r="B16" t="s">
        <v>41</v>
      </c>
      <c r="C16" t="s">
        <v>13</v>
      </c>
      <c r="D16" t="s">
        <v>115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121B-95DB-4D4A-8ADC-9BAAC46E0FE7}">
  <dimension ref="A1"/>
  <sheetViews>
    <sheetView showGridLines="0" tabSelected="1" zoomScale="80" zoomScaleNormal="80" workbookViewId="0">
      <selection activeCell="V20" sqref="V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0903A-00E9-47C8-B9B8-32249AB42021}">
  <dimension ref="A1:W501"/>
  <sheetViews>
    <sheetView topLeftCell="E1" workbookViewId="0">
      <selection activeCell="H6" sqref="H6"/>
    </sheetView>
  </sheetViews>
  <sheetFormatPr defaultRowHeight="14.4" x14ac:dyDescent="0.3"/>
  <cols>
    <col min="1" max="1" width="9.77734375" bestFit="1" customWidth="1"/>
    <col min="2" max="2" width="11.88671875" style="1" bestFit="1" customWidth="1"/>
    <col min="3" max="3" width="8.33203125" bestFit="1" customWidth="1"/>
    <col min="4" max="4" width="6.88671875" bestFit="1" customWidth="1"/>
    <col min="5" max="5" width="16.77734375" bestFit="1" customWidth="1"/>
    <col min="6" max="6" width="18.44140625" bestFit="1" customWidth="1"/>
    <col min="7" max="7" width="17.5546875" bestFit="1" customWidth="1"/>
    <col min="8" max="8" width="10.5546875" bestFit="1" customWidth="1"/>
    <col min="9" max="9" width="10.5546875" style="2" bestFit="1" customWidth="1"/>
    <col min="10" max="10" width="14.21875" bestFit="1" customWidth="1"/>
    <col min="11" max="11" width="10.33203125" bestFit="1" customWidth="1"/>
    <col min="12" max="12" width="14.109375" bestFit="1" customWidth="1"/>
    <col min="13" max="13" width="12.6640625" style="3" bestFit="1" customWidth="1"/>
    <col min="14" max="14" width="11.33203125" bestFit="1" customWidth="1"/>
    <col min="15" max="15" width="8.77734375" bestFit="1" customWidth="1"/>
    <col min="16" max="16" width="17.21875" style="3" bestFit="1" customWidth="1"/>
    <col min="17" max="17" width="13.6640625" style="4" bestFit="1" customWidth="1"/>
    <col min="18" max="18" width="13.5546875" bestFit="1" customWidth="1"/>
    <col min="19" max="19" width="10.5546875" bestFit="1" customWidth="1"/>
    <col min="20" max="20" width="15.77734375" customWidth="1"/>
    <col min="21" max="21" width="11.109375" bestFit="1" customWidth="1"/>
    <col min="22" max="22" width="13.21875" bestFit="1" customWidth="1"/>
    <col min="23" max="23" width="15.6640625" style="3" bestFit="1" customWidth="1"/>
  </cols>
  <sheetData>
    <row r="1" spans="1:23" x14ac:dyDescent="0.3">
      <c r="A1" t="s">
        <v>131</v>
      </c>
      <c r="B1" s="1" t="s">
        <v>132</v>
      </c>
      <c r="C1" t="s">
        <v>151</v>
      </c>
      <c r="D1" t="s">
        <v>152</v>
      </c>
      <c r="E1" t="s">
        <v>1</v>
      </c>
      <c r="F1" t="s">
        <v>133</v>
      </c>
      <c r="G1" t="s">
        <v>134</v>
      </c>
      <c r="H1" t="s">
        <v>53</v>
      </c>
      <c r="I1" t="s">
        <v>54</v>
      </c>
      <c r="J1" t="s">
        <v>135</v>
      </c>
      <c r="K1" s="2" t="s">
        <v>136</v>
      </c>
      <c r="L1" t="s">
        <v>137</v>
      </c>
      <c r="M1" s="3" t="s">
        <v>55</v>
      </c>
      <c r="N1" t="s">
        <v>110</v>
      </c>
      <c r="O1" t="s">
        <v>2</v>
      </c>
      <c r="P1" t="s">
        <v>138</v>
      </c>
      <c r="Q1" t="s">
        <v>139</v>
      </c>
      <c r="R1" s="3" t="s">
        <v>140</v>
      </c>
      <c r="S1" s="4" t="s">
        <v>141</v>
      </c>
      <c r="T1" t="s">
        <v>142</v>
      </c>
      <c r="U1" t="s">
        <v>167</v>
      </c>
      <c r="V1" t="s">
        <v>171</v>
      </c>
      <c r="W1"/>
    </row>
    <row r="2" spans="1:23" x14ac:dyDescent="0.3">
      <c r="A2">
        <v>1</v>
      </c>
      <c r="B2" s="1">
        <v>45292</v>
      </c>
      <c r="C2" t="s">
        <v>153</v>
      </c>
      <c r="D2">
        <v>2024</v>
      </c>
      <c r="E2" t="s">
        <v>5</v>
      </c>
      <c r="F2" t="s">
        <v>7</v>
      </c>
      <c r="G2" t="s">
        <v>6</v>
      </c>
      <c r="H2" t="s">
        <v>62</v>
      </c>
      <c r="I2" t="s">
        <v>63</v>
      </c>
      <c r="J2" t="s">
        <v>64</v>
      </c>
      <c r="K2" s="2">
        <v>2</v>
      </c>
      <c r="L2" t="s">
        <v>143</v>
      </c>
      <c r="M2" s="3">
        <v>150</v>
      </c>
      <c r="N2" t="s">
        <v>51</v>
      </c>
      <c r="O2" t="s">
        <v>6</v>
      </c>
      <c r="P2" t="s">
        <v>113</v>
      </c>
      <c r="Q2" t="s">
        <v>144</v>
      </c>
      <c r="R2" s="3">
        <v>300</v>
      </c>
      <c r="S2" s="4">
        <v>15</v>
      </c>
      <c r="T2" t="s">
        <v>145</v>
      </c>
      <c r="U2">
        <v>285</v>
      </c>
      <c r="V2">
        <v>1</v>
      </c>
      <c r="W2"/>
    </row>
    <row r="3" spans="1:23" x14ac:dyDescent="0.3">
      <c r="A3">
        <v>2</v>
      </c>
      <c r="B3" s="1">
        <v>45293</v>
      </c>
      <c r="C3" t="s">
        <v>153</v>
      </c>
      <c r="D3">
        <v>2024</v>
      </c>
      <c r="E3" t="s">
        <v>5</v>
      </c>
      <c r="F3" t="s">
        <v>7</v>
      </c>
      <c r="G3" t="s">
        <v>6</v>
      </c>
      <c r="H3" t="s">
        <v>62</v>
      </c>
      <c r="I3" t="s">
        <v>63</v>
      </c>
      <c r="J3" t="s">
        <v>64</v>
      </c>
      <c r="K3" s="2">
        <v>1</v>
      </c>
      <c r="L3" t="s">
        <v>143</v>
      </c>
      <c r="M3" s="3">
        <v>150</v>
      </c>
      <c r="N3" t="s">
        <v>51</v>
      </c>
      <c r="O3" t="s">
        <v>6</v>
      </c>
      <c r="P3" t="s">
        <v>113</v>
      </c>
      <c r="Q3" t="s">
        <v>144</v>
      </c>
      <c r="R3" s="3">
        <v>150</v>
      </c>
      <c r="S3" s="4">
        <v>0</v>
      </c>
      <c r="T3" t="s">
        <v>145</v>
      </c>
      <c r="U3">
        <v>150</v>
      </c>
      <c r="V3">
        <v>1</v>
      </c>
      <c r="W3"/>
    </row>
    <row r="4" spans="1:23" x14ac:dyDescent="0.3">
      <c r="A4">
        <v>16</v>
      </c>
      <c r="B4" s="1">
        <v>45307</v>
      </c>
      <c r="C4" t="s">
        <v>153</v>
      </c>
      <c r="D4">
        <v>2024</v>
      </c>
      <c r="E4" t="s">
        <v>5</v>
      </c>
      <c r="F4" t="s">
        <v>7</v>
      </c>
      <c r="G4" t="s">
        <v>6</v>
      </c>
      <c r="H4" t="s">
        <v>62</v>
      </c>
      <c r="I4" t="s">
        <v>63</v>
      </c>
      <c r="J4" t="s">
        <v>64</v>
      </c>
      <c r="K4" s="2">
        <v>1</v>
      </c>
      <c r="L4" t="s">
        <v>143</v>
      </c>
      <c r="M4" s="3">
        <v>150</v>
      </c>
      <c r="N4" t="s">
        <v>51</v>
      </c>
      <c r="O4" t="s">
        <v>6</v>
      </c>
      <c r="P4" t="s">
        <v>113</v>
      </c>
      <c r="Q4" t="s">
        <v>146</v>
      </c>
      <c r="R4" s="3">
        <v>150</v>
      </c>
      <c r="S4" s="4">
        <v>0</v>
      </c>
      <c r="T4" t="s">
        <v>145</v>
      </c>
      <c r="U4">
        <v>150</v>
      </c>
      <c r="V4">
        <v>1</v>
      </c>
      <c r="W4"/>
    </row>
    <row r="5" spans="1:23" x14ac:dyDescent="0.3">
      <c r="A5">
        <v>21</v>
      </c>
      <c r="B5" s="1">
        <v>45312</v>
      </c>
      <c r="C5" t="s">
        <v>153</v>
      </c>
      <c r="D5">
        <v>2024</v>
      </c>
      <c r="E5" t="s">
        <v>5</v>
      </c>
      <c r="F5" t="s">
        <v>7</v>
      </c>
      <c r="G5" t="s">
        <v>6</v>
      </c>
      <c r="H5" t="s">
        <v>62</v>
      </c>
      <c r="I5" t="s">
        <v>63</v>
      </c>
      <c r="J5" t="s">
        <v>64</v>
      </c>
      <c r="K5" s="2">
        <v>3</v>
      </c>
      <c r="L5" t="s">
        <v>143</v>
      </c>
      <c r="M5" s="3">
        <v>150</v>
      </c>
      <c r="N5" t="s">
        <v>51</v>
      </c>
      <c r="O5" t="s">
        <v>6</v>
      </c>
      <c r="P5" t="s">
        <v>113</v>
      </c>
      <c r="Q5" t="s">
        <v>144</v>
      </c>
      <c r="R5" s="3">
        <v>450</v>
      </c>
      <c r="S5" s="4">
        <v>22.5</v>
      </c>
      <c r="T5" t="s">
        <v>145</v>
      </c>
      <c r="U5">
        <v>427.5</v>
      </c>
      <c r="V5">
        <v>1</v>
      </c>
      <c r="W5"/>
    </row>
    <row r="6" spans="1:23" x14ac:dyDescent="0.3">
      <c r="A6">
        <v>8</v>
      </c>
      <c r="B6" s="1">
        <v>45505</v>
      </c>
      <c r="C6" t="s">
        <v>154</v>
      </c>
      <c r="D6">
        <v>2024</v>
      </c>
      <c r="E6" t="s">
        <v>5</v>
      </c>
      <c r="F6" t="s">
        <v>7</v>
      </c>
      <c r="G6" t="s">
        <v>6</v>
      </c>
      <c r="H6" t="s">
        <v>71</v>
      </c>
      <c r="I6" t="s">
        <v>63</v>
      </c>
      <c r="J6" t="s">
        <v>64</v>
      </c>
      <c r="K6" s="2">
        <v>1</v>
      </c>
      <c r="L6" t="s">
        <v>143</v>
      </c>
      <c r="M6" s="3">
        <v>300</v>
      </c>
      <c r="N6" t="s">
        <v>51</v>
      </c>
      <c r="O6" t="s">
        <v>6</v>
      </c>
      <c r="P6" t="s">
        <v>113</v>
      </c>
      <c r="Q6" t="s">
        <v>146</v>
      </c>
      <c r="R6" s="3">
        <v>300</v>
      </c>
      <c r="S6" s="4">
        <v>0</v>
      </c>
      <c r="T6" t="s">
        <v>145</v>
      </c>
      <c r="U6">
        <v>300</v>
      </c>
      <c r="V6">
        <v>1</v>
      </c>
      <c r="W6"/>
    </row>
    <row r="7" spans="1:23" x14ac:dyDescent="0.3">
      <c r="A7">
        <v>12</v>
      </c>
      <c r="B7" s="1">
        <v>45303</v>
      </c>
      <c r="C7" t="s">
        <v>153</v>
      </c>
      <c r="D7">
        <v>2024</v>
      </c>
      <c r="E7" t="s">
        <v>5</v>
      </c>
      <c r="F7" t="s">
        <v>7</v>
      </c>
      <c r="G7" t="s">
        <v>6</v>
      </c>
      <c r="H7" t="s">
        <v>69</v>
      </c>
      <c r="I7" t="s">
        <v>59</v>
      </c>
      <c r="J7" t="s">
        <v>67</v>
      </c>
      <c r="K7" s="2">
        <v>2</v>
      </c>
      <c r="L7" t="s">
        <v>143</v>
      </c>
      <c r="M7" s="3">
        <v>50</v>
      </c>
      <c r="N7" t="s">
        <v>47</v>
      </c>
      <c r="O7" t="s">
        <v>13</v>
      </c>
      <c r="P7" t="s">
        <v>115</v>
      </c>
      <c r="Q7" t="s">
        <v>146</v>
      </c>
      <c r="R7" s="3">
        <v>100</v>
      </c>
      <c r="S7" s="4">
        <v>4</v>
      </c>
      <c r="T7" t="s">
        <v>145</v>
      </c>
      <c r="U7">
        <v>96</v>
      </c>
      <c r="V7">
        <v>1</v>
      </c>
      <c r="W7"/>
    </row>
    <row r="8" spans="1:23" x14ac:dyDescent="0.3">
      <c r="A8">
        <v>17</v>
      </c>
      <c r="B8" s="1">
        <v>45308</v>
      </c>
      <c r="C8" t="s">
        <v>153</v>
      </c>
      <c r="D8">
        <v>2024</v>
      </c>
      <c r="E8" t="s">
        <v>9</v>
      </c>
      <c r="F8" t="s">
        <v>7</v>
      </c>
      <c r="G8" t="s">
        <v>10</v>
      </c>
      <c r="H8" t="s">
        <v>66</v>
      </c>
      <c r="I8" t="s">
        <v>59</v>
      </c>
      <c r="J8" t="s">
        <v>67</v>
      </c>
      <c r="K8" s="2">
        <v>2</v>
      </c>
      <c r="L8" t="s">
        <v>143</v>
      </c>
      <c r="M8" s="3">
        <v>20</v>
      </c>
      <c r="N8" t="s">
        <v>47</v>
      </c>
      <c r="O8" t="s">
        <v>10</v>
      </c>
      <c r="P8" t="s">
        <v>115</v>
      </c>
      <c r="Q8" t="s">
        <v>144</v>
      </c>
      <c r="R8" s="3">
        <v>40</v>
      </c>
      <c r="S8" s="4">
        <v>0</v>
      </c>
      <c r="T8" t="s">
        <v>145</v>
      </c>
      <c r="U8">
        <v>40</v>
      </c>
      <c r="V8">
        <v>1</v>
      </c>
      <c r="W8"/>
    </row>
    <row r="9" spans="1:23" x14ac:dyDescent="0.3">
      <c r="A9">
        <v>13</v>
      </c>
      <c r="B9" s="1">
        <v>45304</v>
      </c>
      <c r="C9" t="s">
        <v>153</v>
      </c>
      <c r="D9">
        <v>2024</v>
      </c>
      <c r="E9" t="s">
        <v>9</v>
      </c>
      <c r="F9" t="s">
        <v>7</v>
      </c>
      <c r="G9" t="s">
        <v>10</v>
      </c>
      <c r="H9" t="s">
        <v>71</v>
      </c>
      <c r="I9" t="s">
        <v>63</v>
      </c>
      <c r="J9" t="s">
        <v>64</v>
      </c>
      <c r="K9" s="2"/>
      <c r="L9" t="s">
        <v>147</v>
      </c>
      <c r="M9" s="3">
        <v>300</v>
      </c>
      <c r="N9" t="s">
        <v>49</v>
      </c>
      <c r="O9" t="s">
        <v>10</v>
      </c>
      <c r="P9" t="s">
        <v>117</v>
      </c>
      <c r="Q9" t="s">
        <v>144</v>
      </c>
      <c r="R9" s="3"/>
      <c r="S9" s="4"/>
      <c r="V9">
        <v>1</v>
      </c>
      <c r="W9"/>
    </row>
    <row r="10" spans="1:23" x14ac:dyDescent="0.3">
      <c r="A10">
        <v>6</v>
      </c>
      <c r="B10" s="1">
        <v>45297</v>
      </c>
      <c r="C10" t="s">
        <v>153</v>
      </c>
      <c r="D10">
        <v>2024</v>
      </c>
      <c r="E10" t="s">
        <v>9</v>
      </c>
      <c r="F10" t="s">
        <v>7</v>
      </c>
      <c r="G10" t="s">
        <v>10</v>
      </c>
      <c r="H10" t="s">
        <v>69</v>
      </c>
      <c r="I10" t="s">
        <v>59</v>
      </c>
      <c r="J10" t="s">
        <v>67</v>
      </c>
      <c r="K10" s="2"/>
      <c r="L10" t="s">
        <v>147</v>
      </c>
      <c r="M10" s="3">
        <v>50</v>
      </c>
      <c r="N10" t="s">
        <v>51</v>
      </c>
      <c r="O10" t="s">
        <v>13</v>
      </c>
      <c r="P10" t="s">
        <v>113</v>
      </c>
      <c r="Q10" t="s">
        <v>148</v>
      </c>
      <c r="R10" s="3"/>
      <c r="S10" s="4"/>
      <c r="V10">
        <v>1</v>
      </c>
      <c r="W10"/>
    </row>
    <row r="11" spans="1:23" x14ac:dyDescent="0.3">
      <c r="A11">
        <v>7</v>
      </c>
      <c r="B11" s="1">
        <v>45298</v>
      </c>
      <c r="C11" t="s">
        <v>153</v>
      </c>
      <c r="D11">
        <v>2024</v>
      </c>
      <c r="E11" t="s">
        <v>9</v>
      </c>
      <c r="F11" t="s">
        <v>7</v>
      </c>
      <c r="G11" t="s">
        <v>10</v>
      </c>
      <c r="H11" t="s">
        <v>73</v>
      </c>
      <c r="I11" t="s">
        <v>59</v>
      </c>
      <c r="J11" t="s">
        <v>74</v>
      </c>
      <c r="K11" s="2">
        <v>4</v>
      </c>
      <c r="L11" t="s">
        <v>143</v>
      </c>
      <c r="M11" s="3">
        <v>200</v>
      </c>
      <c r="N11" t="s">
        <v>47</v>
      </c>
      <c r="O11" t="s">
        <v>6</v>
      </c>
      <c r="P11" t="s">
        <v>115</v>
      </c>
      <c r="Q11" t="s">
        <v>144</v>
      </c>
      <c r="R11" s="3">
        <v>800</v>
      </c>
      <c r="S11" s="4">
        <v>40</v>
      </c>
      <c r="T11" t="s">
        <v>145</v>
      </c>
      <c r="U11">
        <v>760</v>
      </c>
      <c r="V11">
        <v>1</v>
      </c>
      <c r="W11"/>
    </row>
    <row r="12" spans="1:23" x14ac:dyDescent="0.3">
      <c r="A12">
        <v>3</v>
      </c>
      <c r="B12" s="1">
        <v>45294</v>
      </c>
      <c r="C12" t="s">
        <v>153</v>
      </c>
      <c r="D12">
        <v>2024</v>
      </c>
      <c r="E12" t="s">
        <v>12</v>
      </c>
      <c r="F12" t="s">
        <v>7</v>
      </c>
      <c r="G12" t="s">
        <v>13</v>
      </c>
      <c r="H12" t="s">
        <v>71</v>
      </c>
      <c r="I12" t="s">
        <v>63</v>
      </c>
      <c r="J12" t="s">
        <v>64</v>
      </c>
      <c r="K12" s="2">
        <v>3</v>
      </c>
      <c r="L12" t="s">
        <v>143</v>
      </c>
      <c r="M12" s="3">
        <v>300</v>
      </c>
      <c r="N12" t="s">
        <v>47</v>
      </c>
      <c r="O12" t="s">
        <v>10</v>
      </c>
      <c r="P12" t="s">
        <v>115</v>
      </c>
      <c r="Q12" t="s">
        <v>144</v>
      </c>
      <c r="R12" s="3">
        <v>900</v>
      </c>
      <c r="S12" s="4">
        <v>63</v>
      </c>
      <c r="T12" t="s">
        <v>145</v>
      </c>
      <c r="U12">
        <v>837</v>
      </c>
      <c r="V12">
        <v>1</v>
      </c>
      <c r="W12"/>
    </row>
    <row r="13" spans="1:23" x14ac:dyDescent="0.3">
      <c r="A13">
        <v>9</v>
      </c>
      <c r="B13" s="1">
        <v>45300</v>
      </c>
      <c r="C13" t="s">
        <v>153</v>
      </c>
      <c r="D13">
        <v>2024</v>
      </c>
      <c r="E13" t="s">
        <v>12</v>
      </c>
      <c r="F13" t="s">
        <v>7</v>
      </c>
      <c r="G13" t="s">
        <v>13</v>
      </c>
      <c r="H13" t="s">
        <v>58</v>
      </c>
      <c r="I13" t="s">
        <v>59</v>
      </c>
      <c r="J13" t="s">
        <v>60</v>
      </c>
      <c r="K13" s="2">
        <v>2</v>
      </c>
      <c r="L13" t="s">
        <v>143</v>
      </c>
      <c r="M13" s="3">
        <v>800</v>
      </c>
      <c r="N13" t="s">
        <v>49</v>
      </c>
      <c r="O13" t="s">
        <v>10</v>
      </c>
      <c r="P13" t="s">
        <v>117</v>
      </c>
      <c r="Q13" t="s">
        <v>144</v>
      </c>
      <c r="R13" s="3">
        <v>1600</v>
      </c>
      <c r="S13" s="4">
        <v>0</v>
      </c>
      <c r="T13" t="s">
        <v>149</v>
      </c>
      <c r="U13">
        <v>1600</v>
      </c>
      <c r="V13">
        <v>1</v>
      </c>
      <c r="W13"/>
    </row>
    <row r="14" spans="1:23" x14ac:dyDescent="0.3">
      <c r="A14">
        <v>18</v>
      </c>
      <c r="B14" s="1">
        <v>45309</v>
      </c>
      <c r="C14" t="s">
        <v>153</v>
      </c>
      <c r="D14">
        <v>2024</v>
      </c>
      <c r="E14" t="s">
        <v>12</v>
      </c>
      <c r="F14" t="s">
        <v>7</v>
      </c>
      <c r="G14" t="s">
        <v>13</v>
      </c>
      <c r="H14" t="s">
        <v>69</v>
      </c>
      <c r="I14" t="s">
        <v>59</v>
      </c>
      <c r="J14" t="s">
        <v>67</v>
      </c>
      <c r="K14" s="2">
        <v>5</v>
      </c>
      <c r="L14" t="s">
        <v>143</v>
      </c>
      <c r="M14" s="3">
        <v>50</v>
      </c>
      <c r="N14" t="s">
        <v>49</v>
      </c>
      <c r="O14" t="s">
        <v>13</v>
      </c>
      <c r="P14" t="s">
        <v>117</v>
      </c>
      <c r="Q14" t="s">
        <v>144</v>
      </c>
      <c r="R14" s="3">
        <v>250</v>
      </c>
      <c r="S14" s="4">
        <v>10</v>
      </c>
      <c r="T14" t="s">
        <v>145</v>
      </c>
      <c r="U14">
        <v>240</v>
      </c>
      <c r="V14">
        <v>1</v>
      </c>
      <c r="W14"/>
    </row>
    <row r="15" spans="1:23" x14ac:dyDescent="0.3">
      <c r="A15">
        <v>14</v>
      </c>
      <c r="B15" s="1">
        <v>45305</v>
      </c>
      <c r="C15" t="s">
        <v>153</v>
      </c>
      <c r="D15">
        <v>2024</v>
      </c>
      <c r="E15" t="s">
        <v>12</v>
      </c>
      <c r="F15" t="s">
        <v>7</v>
      </c>
      <c r="G15" t="s">
        <v>13</v>
      </c>
      <c r="H15" t="s">
        <v>73</v>
      </c>
      <c r="I15" t="s">
        <v>59</v>
      </c>
      <c r="J15" t="s">
        <v>74</v>
      </c>
      <c r="K15" s="2">
        <v>3</v>
      </c>
      <c r="L15" t="s">
        <v>143</v>
      </c>
      <c r="M15" s="3">
        <v>200</v>
      </c>
      <c r="N15" t="s">
        <v>51</v>
      </c>
      <c r="O15" t="s">
        <v>6</v>
      </c>
      <c r="P15" t="s">
        <v>113</v>
      </c>
      <c r="Q15" t="s">
        <v>148</v>
      </c>
      <c r="R15" s="3">
        <v>600</v>
      </c>
      <c r="S15" s="4">
        <v>30</v>
      </c>
      <c r="T15" t="s">
        <v>145</v>
      </c>
      <c r="U15">
        <v>570</v>
      </c>
      <c r="V15">
        <v>1</v>
      </c>
      <c r="W15"/>
    </row>
    <row r="16" spans="1:23" x14ac:dyDescent="0.3">
      <c r="A16">
        <v>19</v>
      </c>
      <c r="B16" s="1">
        <v>45310</v>
      </c>
      <c r="C16" t="s">
        <v>153</v>
      </c>
      <c r="D16">
        <v>2024</v>
      </c>
      <c r="E16" t="s">
        <v>15</v>
      </c>
      <c r="F16" t="s">
        <v>7</v>
      </c>
      <c r="G16" t="s">
        <v>16</v>
      </c>
      <c r="H16" t="s">
        <v>71</v>
      </c>
      <c r="I16" t="s">
        <v>63</v>
      </c>
      <c r="J16" t="s">
        <v>64</v>
      </c>
      <c r="K16" s="2">
        <v>4</v>
      </c>
      <c r="L16" t="s">
        <v>143</v>
      </c>
      <c r="M16" s="3">
        <v>300</v>
      </c>
      <c r="N16" t="s">
        <v>51</v>
      </c>
      <c r="O16" t="s">
        <v>6</v>
      </c>
      <c r="P16" t="s">
        <v>113</v>
      </c>
      <c r="Q16" t="s">
        <v>144</v>
      </c>
      <c r="R16" s="3">
        <v>1200</v>
      </c>
      <c r="S16" s="4">
        <v>60</v>
      </c>
      <c r="T16" t="s">
        <v>149</v>
      </c>
      <c r="U16">
        <v>1140</v>
      </c>
      <c r="V16">
        <v>1</v>
      </c>
      <c r="W16"/>
    </row>
    <row r="17" spans="1:23" x14ac:dyDescent="0.3">
      <c r="A17">
        <v>11</v>
      </c>
      <c r="B17" s="1">
        <v>45302</v>
      </c>
      <c r="C17" t="s">
        <v>153</v>
      </c>
      <c r="D17">
        <v>2024</v>
      </c>
      <c r="E17" t="s">
        <v>15</v>
      </c>
      <c r="F17" t="s">
        <v>7</v>
      </c>
      <c r="G17" t="s">
        <v>16</v>
      </c>
      <c r="H17" t="s">
        <v>66</v>
      </c>
      <c r="I17" t="s">
        <v>59</v>
      </c>
      <c r="J17" t="s">
        <v>67</v>
      </c>
      <c r="K17" s="2">
        <v>1</v>
      </c>
      <c r="L17" t="s">
        <v>143</v>
      </c>
      <c r="M17" s="3">
        <v>20</v>
      </c>
      <c r="N17" t="s">
        <v>51</v>
      </c>
      <c r="O17" t="s">
        <v>6</v>
      </c>
      <c r="P17" t="s">
        <v>113</v>
      </c>
      <c r="Q17" t="s">
        <v>144</v>
      </c>
      <c r="R17" s="3">
        <v>20</v>
      </c>
      <c r="S17" s="4">
        <v>0</v>
      </c>
      <c r="T17" t="s">
        <v>145</v>
      </c>
      <c r="U17">
        <v>20</v>
      </c>
      <c r="V17">
        <v>1</v>
      </c>
      <c r="W17"/>
    </row>
    <row r="18" spans="1:23" x14ac:dyDescent="0.3">
      <c r="A18">
        <v>10</v>
      </c>
      <c r="B18" s="1">
        <v>45566</v>
      </c>
      <c r="C18" t="s">
        <v>155</v>
      </c>
      <c r="D18">
        <v>2024</v>
      </c>
      <c r="E18" t="s">
        <v>15</v>
      </c>
      <c r="F18" t="s">
        <v>7</v>
      </c>
      <c r="G18" t="s">
        <v>16</v>
      </c>
      <c r="H18" t="s">
        <v>62</v>
      </c>
      <c r="I18" t="s">
        <v>63</v>
      </c>
      <c r="J18" t="s">
        <v>64</v>
      </c>
      <c r="K18" s="2">
        <v>3</v>
      </c>
      <c r="L18" t="s">
        <v>143</v>
      </c>
      <c r="M18" s="3">
        <v>150</v>
      </c>
      <c r="N18" t="s">
        <v>45</v>
      </c>
      <c r="O18" t="s">
        <v>16</v>
      </c>
      <c r="P18" t="s">
        <v>113</v>
      </c>
      <c r="Q18" t="s">
        <v>144</v>
      </c>
      <c r="R18" s="3">
        <v>450</v>
      </c>
      <c r="S18" s="4">
        <v>27</v>
      </c>
      <c r="T18" t="s">
        <v>145</v>
      </c>
      <c r="U18">
        <v>423</v>
      </c>
      <c r="V18">
        <v>1</v>
      </c>
      <c r="W18"/>
    </row>
    <row r="19" spans="1:23" x14ac:dyDescent="0.3">
      <c r="A19">
        <v>15</v>
      </c>
      <c r="B19" s="1">
        <v>45306</v>
      </c>
      <c r="C19" t="s">
        <v>153</v>
      </c>
      <c r="D19">
        <v>2024</v>
      </c>
      <c r="E19" t="s">
        <v>15</v>
      </c>
      <c r="F19" t="s">
        <v>7</v>
      </c>
      <c r="G19" t="s">
        <v>16</v>
      </c>
      <c r="H19" t="s">
        <v>58</v>
      </c>
      <c r="I19" t="s">
        <v>59</v>
      </c>
      <c r="J19" t="s">
        <v>60</v>
      </c>
      <c r="K19" s="2">
        <v>2</v>
      </c>
      <c r="L19" t="s">
        <v>143</v>
      </c>
      <c r="M19" s="3">
        <v>800</v>
      </c>
      <c r="N19" t="s">
        <v>45</v>
      </c>
      <c r="O19" t="s">
        <v>16</v>
      </c>
      <c r="P19" t="s">
        <v>113</v>
      </c>
      <c r="Q19" t="s">
        <v>144</v>
      </c>
      <c r="R19" s="3">
        <v>1600</v>
      </c>
      <c r="S19" s="4">
        <v>0</v>
      </c>
      <c r="T19" t="s">
        <v>149</v>
      </c>
      <c r="U19">
        <v>1600</v>
      </c>
      <c r="V19">
        <v>1</v>
      </c>
      <c r="W19"/>
    </row>
    <row r="20" spans="1:23" x14ac:dyDescent="0.3">
      <c r="A20">
        <v>20</v>
      </c>
      <c r="B20" s="1">
        <v>45311</v>
      </c>
      <c r="C20" t="s">
        <v>153</v>
      </c>
      <c r="D20">
        <v>2024</v>
      </c>
      <c r="E20" t="s">
        <v>15</v>
      </c>
      <c r="F20" t="s">
        <v>7</v>
      </c>
      <c r="G20" t="s">
        <v>16</v>
      </c>
      <c r="H20" t="s">
        <v>58</v>
      </c>
      <c r="I20" t="s">
        <v>59</v>
      </c>
      <c r="J20" t="s">
        <v>60</v>
      </c>
      <c r="K20" s="2"/>
      <c r="L20" t="s">
        <v>147</v>
      </c>
      <c r="M20" s="3">
        <v>800</v>
      </c>
      <c r="N20" t="s">
        <v>45</v>
      </c>
      <c r="O20" t="s">
        <v>16</v>
      </c>
      <c r="P20" t="s">
        <v>113</v>
      </c>
      <c r="Q20" t="s">
        <v>146</v>
      </c>
      <c r="R20" s="3"/>
      <c r="S20" s="4"/>
      <c r="V20">
        <v>1</v>
      </c>
      <c r="W20"/>
    </row>
    <row r="21" spans="1:23" x14ac:dyDescent="0.3">
      <c r="A21">
        <v>5</v>
      </c>
      <c r="B21" s="1">
        <v>45296</v>
      </c>
      <c r="C21" t="s">
        <v>153</v>
      </c>
      <c r="D21">
        <v>2024</v>
      </c>
      <c r="E21" t="s">
        <v>15</v>
      </c>
      <c r="F21" t="s">
        <v>7</v>
      </c>
      <c r="G21" t="s">
        <v>16</v>
      </c>
      <c r="H21" t="s">
        <v>66</v>
      </c>
      <c r="I21" t="s">
        <v>59</v>
      </c>
      <c r="J21" t="s">
        <v>67</v>
      </c>
      <c r="K21" s="2">
        <v>2</v>
      </c>
      <c r="L21" t="s">
        <v>143</v>
      </c>
      <c r="M21" s="3">
        <v>20</v>
      </c>
      <c r="N21" t="s">
        <v>45</v>
      </c>
      <c r="O21" t="s">
        <v>16</v>
      </c>
      <c r="P21" t="s">
        <v>113</v>
      </c>
      <c r="Q21" t="s">
        <v>144</v>
      </c>
      <c r="R21" s="3">
        <v>40</v>
      </c>
      <c r="S21" s="4">
        <v>0</v>
      </c>
      <c r="T21" t="s">
        <v>145</v>
      </c>
      <c r="U21">
        <v>40</v>
      </c>
      <c r="V21">
        <v>1</v>
      </c>
      <c r="W21"/>
    </row>
    <row r="22" spans="1:23" x14ac:dyDescent="0.3">
      <c r="A22">
        <v>4</v>
      </c>
      <c r="B22" s="1">
        <v>45383</v>
      </c>
      <c r="C22" t="s">
        <v>156</v>
      </c>
      <c r="D22">
        <v>2024</v>
      </c>
      <c r="E22" t="s">
        <v>15</v>
      </c>
      <c r="F22" t="s">
        <v>7</v>
      </c>
      <c r="G22" t="s">
        <v>16</v>
      </c>
      <c r="H22" t="s">
        <v>58</v>
      </c>
      <c r="I22" t="s">
        <v>59</v>
      </c>
      <c r="J22" t="s">
        <v>60</v>
      </c>
      <c r="K22" s="2">
        <v>5</v>
      </c>
      <c r="L22" t="s">
        <v>143</v>
      </c>
      <c r="M22" s="3">
        <v>800</v>
      </c>
      <c r="N22" t="s">
        <v>49</v>
      </c>
      <c r="O22" t="s">
        <v>10</v>
      </c>
      <c r="P22" t="s">
        <v>117</v>
      </c>
      <c r="Q22" t="s">
        <v>146</v>
      </c>
      <c r="R22" s="3">
        <v>4000</v>
      </c>
      <c r="S22" s="4">
        <v>280</v>
      </c>
      <c r="T22" t="s">
        <v>150</v>
      </c>
      <c r="U22">
        <v>3720</v>
      </c>
      <c r="V22">
        <v>1</v>
      </c>
      <c r="W22"/>
    </row>
    <row r="23" spans="1:23" x14ac:dyDescent="0.3">
      <c r="A23">
        <v>22</v>
      </c>
      <c r="B23" s="1">
        <v>45313</v>
      </c>
      <c r="C23" t="s">
        <v>153</v>
      </c>
      <c r="D23">
        <v>2024</v>
      </c>
      <c r="E23" t="s">
        <v>12</v>
      </c>
      <c r="F23" t="s">
        <v>7</v>
      </c>
      <c r="G23" t="s">
        <v>13</v>
      </c>
      <c r="H23" t="s">
        <v>66</v>
      </c>
      <c r="I23" t="s">
        <v>59</v>
      </c>
      <c r="J23" t="s">
        <v>67</v>
      </c>
      <c r="K23" s="2">
        <v>1</v>
      </c>
      <c r="L23" t="s">
        <v>143</v>
      </c>
      <c r="M23" s="3">
        <v>20</v>
      </c>
      <c r="N23" t="s">
        <v>47</v>
      </c>
      <c r="O23" t="s">
        <v>10</v>
      </c>
      <c r="P23" t="s">
        <v>115</v>
      </c>
      <c r="Q23" t="s">
        <v>148</v>
      </c>
      <c r="R23" s="3">
        <v>20</v>
      </c>
      <c r="S23" s="4">
        <v>0</v>
      </c>
      <c r="T23" t="s">
        <v>145</v>
      </c>
      <c r="U23">
        <v>20</v>
      </c>
      <c r="V23">
        <v>1</v>
      </c>
      <c r="W23"/>
    </row>
    <row r="24" spans="1:23" x14ac:dyDescent="0.3">
      <c r="A24">
        <v>23</v>
      </c>
      <c r="B24" s="1">
        <v>45314</v>
      </c>
      <c r="C24" t="s">
        <v>153</v>
      </c>
      <c r="D24">
        <v>2024</v>
      </c>
      <c r="E24" t="s">
        <v>9</v>
      </c>
      <c r="F24" t="s">
        <v>7</v>
      </c>
      <c r="G24" t="s">
        <v>10</v>
      </c>
      <c r="H24" t="s">
        <v>73</v>
      </c>
      <c r="I24" t="s">
        <v>59</v>
      </c>
      <c r="J24" t="s">
        <v>74</v>
      </c>
      <c r="K24" s="2">
        <v>2</v>
      </c>
      <c r="L24" t="s">
        <v>143</v>
      </c>
      <c r="M24" s="3">
        <v>200</v>
      </c>
      <c r="N24" t="s">
        <v>49</v>
      </c>
      <c r="O24" t="s">
        <v>10</v>
      </c>
      <c r="P24" t="s">
        <v>117</v>
      </c>
      <c r="Q24" t="s">
        <v>144</v>
      </c>
      <c r="R24" s="3">
        <v>400</v>
      </c>
      <c r="S24" s="4">
        <v>0</v>
      </c>
      <c r="T24" t="s">
        <v>145</v>
      </c>
      <c r="U24">
        <v>400</v>
      </c>
      <c r="V24">
        <v>1</v>
      </c>
      <c r="W24"/>
    </row>
    <row r="25" spans="1:23" x14ac:dyDescent="0.3">
      <c r="A25">
        <v>24</v>
      </c>
      <c r="B25" s="1">
        <v>45315</v>
      </c>
      <c r="C25" t="s">
        <v>153</v>
      </c>
      <c r="D25">
        <v>2024</v>
      </c>
      <c r="E25" t="s">
        <v>15</v>
      </c>
      <c r="F25" t="s">
        <v>7</v>
      </c>
      <c r="G25" t="s">
        <v>16</v>
      </c>
      <c r="H25" t="s">
        <v>69</v>
      </c>
      <c r="I25" t="s">
        <v>59</v>
      </c>
      <c r="J25" t="s">
        <v>67</v>
      </c>
      <c r="K25" s="2">
        <v>2</v>
      </c>
      <c r="L25" t="s">
        <v>143</v>
      </c>
      <c r="M25" s="3">
        <v>50</v>
      </c>
      <c r="N25" t="s">
        <v>51</v>
      </c>
      <c r="O25" t="s">
        <v>13</v>
      </c>
      <c r="P25" t="s">
        <v>113</v>
      </c>
      <c r="Q25" t="s">
        <v>146</v>
      </c>
      <c r="R25" s="3">
        <v>100</v>
      </c>
      <c r="S25" s="4">
        <v>4</v>
      </c>
      <c r="T25" t="s">
        <v>145</v>
      </c>
      <c r="U25">
        <v>96</v>
      </c>
      <c r="V25">
        <v>1</v>
      </c>
      <c r="W25"/>
    </row>
    <row r="26" spans="1:23" x14ac:dyDescent="0.3">
      <c r="A26">
        <v>25</v>
      </c>
      <c r="B26" s="1">
        <v>45316</v>
      </c>
      <c r="C26" t="s">
        <v>153</v>
      </c>
      <c r="D26">
        <v>2024</v>
      </c>
      <c r="E26" t="s">
        <v>5</v>
      </c>
      <c r="F26" t="s">
        <v>7</v>
      </c>
      <c r="G26" t="s">
        <v>6</v>
      </c>
      <c r="H26" t="s">
        <v>71</v>
      </c>
      <c r="I26" t="s">
        <v>63</v>
      </c>
      <c r="J26" t="s">
        <v>64</v>
      </c>
      <c r="K26" s="2">
        <v>5</v>
      </c>
      <c r="L26" t="s">
        <v>143</v>
      </c>
      <c r="M26" s="3">
        <v>300</v>
      </c>
      <c r="N26" t="s">
        <v>45</v>
      </c>
      <c r="O26" t="s">
        <v>6</v>
      </c>
      <c r="P26" t="s">
        <v>113</v>
      </c>
      <c r="Q26" t="s">
        <v>144</v>
      </c>
      <c r="R26" s="3">
        <v>1500</v>
      </c>
      <c r="S26" s="4">
        <v>75</v>
      </c>
      <c r="T26" t="s">
        <v>149</v>
      </c>
      <c r="U26">
        <v>1425</v>
      </c>
      <c r="V26">
        <v>1</v>
      </c>
      <c r="W26"/>
    </row>
    <row r="27" spans="1:23" x14ac:dyDescent="0.3">
      <c r="A27">
        <v>26</v>
      </c>
      <c r="B27" s="1">
        <v>45317</v>
      </c>
      <c r="C27" t="s">
        <v>153</v>
      </c>
      <c r="D27">
        <v>2024</v>
      </c>
      <c r="E27" t="s">
        <v>12</v>
      </c>
      <c r="F27" t="s">
        <v>7</v>
      </c>
      <c r="G27" t="s">
        <v>13</v>
      </c>
      <c r="H27" t="s">
        <v>58</v>
      </c>
      <c r="I27" t="s">
        <v>59</v>
      </c>
      <c r="J27" t="s">
        <v>60</v>
      </c>
      <c r="K27" s="2">
        <v>3</v>
      </c>
      <c r="L27" t="s">
        <v>143</v>
      </c>
      <c r="M27" s="3">
        <v>800</v>
      </c>
      <c r="N27" t="s">
        <v>51</v>
      </c>
      <c r="O27" t="s">
        <v>6</v>
      </c>
      <c r="P27" t="s">
        <v>113</v>
      </c>
      <c r="Q27" t="s">
        <v>144</v>
      </c>
      <c r="R27" s="3">
        <v>2400</v>
      </c>
      <c r="S27" s="4">
        <v>120</v>
      </c>
      <c r="T27" t="s">
        <v>150</v>
      </c>
      <c r="U27">
        <v>2280</v>
      </c>
      <c r="V27">
        <v>1</v>
      </c>
      <c r="W27"/>
    </row>
    <row r="28" spans="1:23" x14ac:dyDescent="0.3">
      <c r="A28">
        <v>27</v>
      </c>
      <c r="B28" s="1">
        <v>45318</v>
      </c>
      <c r="C28" t="s">
        <v>153</v>
      </c>
      <c r="D28">
        <v>2024</v>
      </c>
      <c r="E28" t="s">
        <v>15</v>
      </c>
      <c r="F28" t="s">
        <v>7</v>
      </c>
      <c r="G28" t="s">
        <v>16</v>
      </c>
      <c r="H28" t="s">
        <v>62</v>
      </c>
      <c r="I28" t="s">
        <v>63</v>
      </c>
      <c r="J28" t="s">
        <v>64</v>
      </c>
      <c r="K28" s="2">
        <v>1</v>
      </c>
      <c r="L28" t="s">
        <v>143</v>
      </c>
      <c r="M28" s="3">
        <v>150</v>
      </c>
      <c r="N28" t="s">
        <v>47</v>
      </c>
      <c r="O28" t="s">
        <v>16</v>
      </c>
      <c r="P28" t="s">
        <v>115</v>
      </c>
      <c r="Q28" t="s">
        <v>144</v>
      </c>
      <c r="R28" s="3">
        <v>150</v>
      </c>
      <c r="S28" s="4">
        <v>0</v>
      </c>
      <c r="T28" t="s">
        <v>145</v>
      </c>
      <c r="U28">
        <v>150</v>
      </c>
      <c r="V28">
        <v>1</v>
      </c>
      <c r="W28"/>
    </row>
    <row r="29" spans="1:23" x14ac:dyDescent="0.3">
      <c r="A29">
        <v>28</v>
      </c>
      <c r="B29" s="1">
        <v>45319</v>
      </c>
      <c r="C29" t="s">
        <v>153</v>
      </c>
      <c r="D29">
        <v>2024</v>
      </c>
      <c r="E29" t="s">
        <v>9</v>
      </c>
      <c r="F29" t="s">
        <v>7</v>
      </c>
      <c r="G29" t="s">
        <v>10</v>
      </c>
      <c r="H29" t="s">
        <v>66</v>
      </c>
      <c r="I29" t="s">
        <v>59</v>
      </c>
      <c r="J29" t="s">
        <v>67</v>
      </c>
      <c r="K29" s="2"/>
      <c r="L29" t="s">
        <v>147</v>
      </c>
      <c r="M29" s="3">
        <v>20</v>
      </c>
      <c r="N29" t="s">
        <v>49</v>
      </c>
      <c r="O29" t="s">
        <v>10</v>
      </c>
      <c r="P29" t="s">
        <v>117</v>
      </c>
      <c r="Q29" t="s">
        <v>146</v>
      </c>
      <c r="R29" s="3"/>
      <c r="S29" s="4"/>
      <c r="V29">
        <v>1</v>
      </c>
      <c r="W29"/>
    </row>
    <row r="30" spans="1:23" x14ac:dyDescent="0.3">
      <c r="A30">
        <v>29</v>
      </c>
      <c r="B30" s="1">
        <v>45320</v>
      </c>
      <c r="C30" t="s">
        <v>153</v>
      </c>
      <c r="D30">
        <v>2024</v>
      </c>
      <c r="E30" t="s">
        <v>5</v>
      </c>
      <c r="F30" t="s">
        <v>7</v>
      </c>
      <c r="G30" t="s">
        <v>6</v>
      </c>
      <c r="H30" t="s">
        <v>69</v>
      </c>
      <c r="I30" t="s">
        <v>59</v>
      </c>
      <c r="J30" t="s">
        <v>67</v>
      </c>
      <c r="K30" s="2">
        <v>2</v>
      </c>
      <c r="L30" t="s">
        <v>143</v>
      </c>
      <c r="M30" s="3">
        <v>50</v>
      </c>
      <c r="N30" t="s">
        <v>51</v>
      </c>
      <c r="O30" t="s">
        <v>6</v>
      </c>
      <c r="P30" t="s">
        <v>113</v>
      </c>
      <c r="Q30" t="s">
        <v>144</v>
      </c>
      <c r="R30" s="3">
        <v>100</v>
      </c>
      <c r="S30" s="4">
        <v>5</v>
      </c>
      <c r="T30" t="s">
        <v>145</v>
      </c>
      <c r="U30">
        <v>95</v>
      </c>
      <c r="V30">
        <v>1</v>
      </c>
      <c r="W30"/>
    </row>
    <row r="31" spans="1:23" x14ac:dyDescent="0.3">
      <c r="A31">
        <v>30</v>
      </c>
      <c r="B31" s="1">
        <v>45321</v>
      </c>
      <c r="C31" t="s">
        <v>153</v>
      </c>
      <c r="D31">
        <v>2024</v>
      </c>
      <c r="E31" t="s">
        <v>12</v>
      </c>
      <c r="F31" t="s">
        <v>7</v>
      </c>
      <c r="G31" t="s">
        <v>13</v>
      </c>
      <c r="H31" t="s">
        <v>71</v>
      </c>
      <c r="I31" t="s">
        <v>63</v>
      </c>
      <c r="J31" t="s">
        <v>64</v>
      </c>
      <c r="K31" s="2">
        <v>4</v>
      </c>
      <c r="L31" t="s">
        <v>143</v>
      </c>
      <c r="M31" s="3">
        <v>300</v>
      </c>
      <c r="N31" t="s">
        <v>45</v>
      </c>
      <c r="O31" t="s">
        <v>10</v>
      </c>
      <c r="P31" t="s">
        <v>113</v>
      </c>
      <c r="Q31" t="s">
        <v>148</v>
      </c>
      <c r="R31" s="3">
        <v>1200</v>
      </c>
      <c r="S31" s="4">
        <v>84</v>
      </c>
      <c r="T31" t="s">
        <v>149</v>
      </c>
      <c r="U31">
        <v>1116</v>
      </c>
      <c r="V31">
        <v>1</v>
      </c>
      <c r="W31"/>
    </row>
    <row r="32" spans="1:23" x14ac:dyDescent="0.3">
      <c r="A32">
        <v>31</v>
      </c>
      <c r="B32" s="1">
        <v>45322</v>
      </c>
      <c r="C32" t="s">
        <v>153</v>
      </c>
      <c r="D32">
        <v>2024</v>
      </c>
      <c r="E32" t="s">
        <v>15</v>
      </c>
      <c r="F32" t="s">
        <v>7</v>
      </c>
      <c r="G32" t="s">
        <v>16</v>
      </c>
      <c r="H32" t="s">
        <v>58</v>
      </c>
      <c r="I32" t="s">
        <v>59</v>
      </c>
      <c r="J32" t="s">
        <v>60</v>
      </c>
      <c r="K32" s="2">
        <v>1</v>
      </c>
      <c r="L32" t="s">
        <v>143</v>
      </c>
      <c r="M32" s="3">
        <v>800</v>
      </c>
      <c r="N32" t="s">
        <v>51</v>
      </c>
      <c r="O32" t="s">
        <v>13</v>
      </c>
      <c r="P32" t="s">
        <v>113</v>
      </c>
      <c r="Q32" t="s">
        <v>144</v>
      </c>
      <c r="R32" s="3">
        <v>800</v>
      </c>
      <c r="S32" s="4">
        <v>0</v>
      </c>
      <c r="T32" t="s">
        <v>145</v>
      </c>
      <c r="U32">
        <v>800</v>
      </c>
      <c r="V32">
        <v>1</v>
      </c>
      <c r="W32"/>
    </row>
    <row r="33" spans="1:23" x14ac:dyDescent="0.3">
      <c r="A33">
        <v>32</v>
      </c>
      <c r="B33" s="1">
        <v>45293</v>
      </c>
      <c r="C33" t="s">
        <v>153</v>
      </c>
      <c r="D33">
        <v>2024</v>
      </c>
      <c r="E33" t="s">
        <v>15</v>
      </c>
      <c r="F33" t="s">
        <v>7</v>
      </c>
      <c r="G33" t="s">
        <v>16</v>
      </c>
      <c r="H33" t="s">
        <v>73</v>
      </c>
      <c r="I33" t="s">
        <v>59</v>
      </c>
      <c r="J33" t="s">
        <v>74</v>
      </c>
      <c r="K33" s="2">
        <v>3</v>
      </c>
      <c r="L33" t="s">
        <v>143</v>
      </c>
      <c r="M33" s="3">
        <v>200</v>
      </c>
      <c r="N33" t="s">
        <v>47</v>
      </c>
      <c r="O33" t="s">
        <v>6</v>
      </c>
      <c r="P33" t="s">
        <v>115</v>
      </c>
      <c r="Q33" t="s">
        <v>146</v>
      </c>
      <c r="R33" s="3">
        <v>600</v>
      </c>
      <c r="S33" s="4">
        <v>30</v>
      </c>
      <c r="T33" t="s">
        <v>145</v>
      </c>
      <c r="U33">
        <v>570</v>
      </c>
      <c r="V33">
        <v>1</v>
      </c>
      <c r="W33"/>
    </row>
    <row r="34" spans="1:23" x14ac:dyDescent="0.3">
      <c r="A34">
        <v>33</v>
      </c>
      <c r="B34" s="1">
        <v>45324</v>
      </c>
      <c r="C34" t="s">
        <v>157</v>
      </c>
      <c r="D34">
        <v>2024</v>
      </c>
      <c r="E34" t="s">
        <v>5</v>
      </c>
      <c r="F34" t="s">
        <v>7</v>
      </c>
      <c r="G34" t="s">
        <v>6</v>
      </c>
      <c r="H34" t="s">
        <v>62</v>
      </c>
      <c r="I34" t="s">
        <v>63</v>
      </c>
      <c r="J34" t="s">
        <v>64</v>
      </c>
      <c r="K34" s="2">
        <v>2</v>
      </c>
      <c r="L34" t="s">
        <v>143</v>
      </c>
      <c r="M34" s="3">
        <v>150</v>
      </c>
      <c r="N34" t="s">
        <v>49</v>
      </c>
      <c r="O34" t="s">
        <v>16</v>
      </c>
      <c r="P34" t="s">
        <v>117</v>
      </c>
      <c r="Q34" t="s">
        <v>144</v>
      </c>
      <c r="R34" s="3">
        <v>300</v>
      </c>
      <c r="S34" s="4">
        <v>0</v>
      </c>
      <c r="T34" t="s">
        <v>145</v>
      </c>
      <c r="U34">
        <v>300</v>
      </c>
      <c r="V34">
        <v>1</v>
      </c>
      <c r="W34"/>
    </row>
    <row r="35" spans="1:23" x14ac:dyDescent="0.3">
      <c r="A35">
        <v>34</v>
      </c>
      <c r="B35" s="1">
        <v>45353</v>
      </c>
      <c r="C35" t="s">
        <v>158</v>
      </c>
      <c r="D35">
        <v>2024</v>
      </c>
      <c r="E35" t="s">
        <v>9</v>
      </c>
      <c r="F35" t="s">
        <v>7</v>
      </c>
      <c r="G35" t="s">
        <v>10</v>
      </c>
      <c r="H35" t="s">
        <v>66</v>
      </c>
      <c r="I35" t="s">
        <v>59</v>
      </c>
      <c r="J35" t="s">
        <v>67</v>
      </c>
      <c r="K35" s="2">
        <v>5</v>
      </c>
      <c r="L35" t="s">
        <v>143</v>
      </c>
      <c r="M35" s="3">
        <v>20</v>
      </c>
      <c r="N35" t="s">
        <v>51</v>
      </c>
      <c r="O35" t="s">
        <v>10</v>
      </c>
      <c r="P35" t="s">
        <v>113</v>
      </c>
      <c r="Q35" t="s">
        <v>144</v>
      </c>
      <c r="R35" s="3">
        <v>100</v>
      </c>
      <c r="S35" s="4">
        <v>7</v>
      </c>
      <c r="T35" t="s">
        <v>145</v>
      </c>
      <c r="U35">
        <v>93</v>
      </c>
      <c r="V35">
        <v>1</v>
      </c>
      <c r="W35"/>
    </row>
    <row r="36" spans="1:23" x14ac:dyDescent="0.3">
      <c r="A36">
        <v>35</v>
      </c>
      <c r="B36" s="1">
        <v>45326</v>
      </c>
      <c r="C36" t="s">
        <v>157</v>
      </c>
      <c r="D36">
        <v>2024</v>
      </c>
      <c r="E36" t="s">
        <v>12</v>
      </c>
      <c r="F36" t="s">
        <v>7</v>
      </c>
      <c r="G36" t="s">
        <v>13</v>
      </c>
      <c r="H36" t="s">
        <v>69</v>
      </c>
      <c r="I36" t="s">
        <v>59</v>
      </c>
      <c r="J36" t="s">
        <v>67</v>
      </c>
      <c r="K36" s="2">
        <v>1</v>
      </c>
      <c r="L36" t="s">
        <v>143</v>
      </c>
      <c r="M36" s="3">
        <v>50</v>
      </c>
      <c r="N36" t="s">
        <v>45</v>
      </c>
      <c r="O36" t="s">
        <v>6</v>
      </c>
      <c r="P36" t="s">
        <v>113</v>
      </c>
      <c r="Q36" t="s">
        <v>144</v>
      </c>
      <c r="R36" s="3">
        <v>50</v>
      </c>
      <c r="S36" s="4">
        <v>0</v>
      </c>
      <c r="T36" t="s">
        <v>145</v>
      </c>
      <c r="U36">
        <v>50</v>
      </c>
      <c r="V36">
        <v>1</v>
      </c>
      <c r="W36"/>
    </row>
    <row r="37" spans="1:23" x14ac:dyDescent="0.3">
      <c r="A37">
        <v>36</v>
      </c>
      <c r="B37" s="1">
        <v>45414</v>
      </c>
      <c r="C37" t="s">
        <v>159</v>
      </c>
      <c r="D37">
        <v>2024</v>
      </c>
      <c r="E37" t="s">
        <v>15</v>
      </c>
      <c r="F37" t="s">
        <v>7</v>
      </c>
      <c r="G37" t="s">
        <v>16</v>
      </c>
      <c r="H37" t="s">
        <v>71</v>
      </c>
      <c r="I37" t="s">
        <v>63</v>
      </c>
      <c r="J37" t="s">
        <v>64</v>
      </c>
      <c r="K37" s="2">
        <v>2</v>
      </c>
      <c r="L37" t="s">
        <v>143</v>
      </c>
      <c r="M37" s="3">
        <v>300</v>
      </c>
      <c r="N37" t="s">
        <v>51</v>
      </c>
      <c r="O37" t="s">
        <v>10</v>
      </c>
      <c r="P37" t="s">
        <v>113</v>
      </c>
      <c r="Q37" t="s">
        <v>146</v>
      </c>
      <c r="R37" s="3">
        <v>600</v>
      </c>
      <c r="S37" s="4">
        <v>0</v>
      </c>
      <c r="T37" t="s">
        <v>145</v>
      </c>
      <c r="U37">
        <v>600</v>
      </c>
      <c r="V37">
        <v>1</v>
      </c>
      <c r="W37"/>
    </row>
    <row r="38" spans="1:23" x14ac:dyDescent="0.3">
      <c r="A38">
        <v>37</v>
      </c>
      <c r="B38" s="1">
        <v>45328</v>
      </c>
      <c r="C38" t="s">
        <v>157</v>
      </c>
      <c r="D38">
        <v>2024</v>
      </c>
      <c r="E38" t="s">
        <v>5</v>
      </c>
      <c r="F38" t="s">
        <v>7</v>
      </c>
      <c r="G38" t="s">
        <v>6</v>
      </c>
      <c r="H38" t="s">
        <v>58</v>
      </c>
      <c r="I38" t="s">
        <v>59</v>
      </c>
      <c r="J38" t="s">
        <v>60</v>
      </c>
      <c r="K38" s="2">
        <v>3</v>
      </c>
      <c r="L38" t="s">
        <v>143</v>
      </c>
      <c r="M38" s="3">
        <v>800</v>
      </c>
      <c r="N38" t="s">
        <v>47</v>
      </c>
      <c r="O38" t="s">
        <v>13</v>
      </c>
      <c r="P38" t="s">
        <v>115</v>
      </c>
      <c r="Q38" t="s">
        <v>144</v>
      </c>
      <c r="R38" s="3">
        <v>2400</v>
      </c>
      <c r="S38" s="4">
        <v>96</v>
      </c>
      <c r="T38" t="s">
        <v>150</v>
      </c>
      <c r="U38">
        <v>2304</v>
      </c>
      <c r="V38">
        <v>1</v>
      </c>
      <c r="W38"/>
    </row>
    <row r="39" spans="1:23" x14ac:dyDescent="0.3">
      <c r="A39">
        <v>38</v>
      </c>
      <c r="B39" s="1">
        <v>45475</v>
      </c>
      <c r="C39" t="s">
        <v>160</v>
      </c>
      <c r="D39">
        <v>2024</v>
      </c>
      <c r="E39" t="s">
        <v>9</v>
      </c>
      <c r="F39" t="s">
        <v>7</v>
      </c>
      <c r="G39" t="s">
        <v>10</v>
      </c>
      <c r="H39" t="s">
        <v>62</v>
      </c>
      <c r="I39" t="s">
        <v>63</v>
      </c>
      <c r="J39" t="s">
        <v>64</v>
      </c>
      <c r="K39" s="2"/>
      <c r="L39" t="s">
        <v>147</v>
      </c>
      <c r="M39" s="3">
        <v>150</v>
      </c>
      <c r="N39" t="s">
        <v>49</v>
      </c>
      <c r="O39" t="s">
        <v>6</v>
      </c>
      <c r="P39" t="s">
        <v>117</v>
      </c>
      <c r="Q39" t="s">
        <v>148</v>
      </c>
      <c r="R39" s="3"/>
      <c r="S39" s="4"/>
      <c r="V39">
        <v>1</v>
      </c>
      <c r="W39"/>
    </row>
    <row r="40" spans="1:23" x14ac:dyDescent="0.3">
      <c r="A40">
        <v>39</v>
      </c>
      <c r="B40" s="1">
        <v>45330</v>
      </c>
      <c r="C40" t="s">
        <v>157</v>
      </c>
      <c r="D40">
        <v>2024</v>
      </c>
      <c r="E40" t="s">
        <v>12</v>
      </c>
      <c r="F40" t="s">
        <v>7</v>
      </c>
      <c r="G40" t="s">
        <v>13</v>
      </c>
      <c r="H40" t="s">
        <v>66</v>
      </c>
      <c r="I40" t="s">
        <v>59</v>
      </c>
      <c r="J40" t="s">
        <v>67</v>
      </c>
      <c r="K40" s="2">
        <v>2</v>
      </c>
      <c r="L40" t="s">
        <v>143</v>
      </c>
      <c r="M40" s="3">
        <v>20</v>
      </c>
      <c r="N40" t="s">
        <v>51</v>
      </c>
      <c r="O40" t="s">
        <v>6</v>
      </c>
      <c r="P40" t="s">
        <v>113</v>
      </c>
      <c r="Q40" t="s">
        <v>144</v>
      </c>
      <c r="R40" s="3">
        <v>40</v>
      </c>
      <c r="S40" s="4">
        <v>2</v>
      </c>
      <c r="T40" t="s">
        <v>145</v>
      </c>
      <c r="U40">
        <v>38</v>
      </c>
      <c r="V40">
        <v>1</v>
      </c>
      <c r="W40"/>
    </row>
    <row r="41" spans="1:23" x14ac:dyDescent="0.3">
      <c r="A41">
        <v>40</v>
      </c>
      <c r="B41" s="1">
        <v>45537</v>
      </c>
      <c r="C41" t="s">
        <v>161</v>
      </c>
      <c r="D41">
        <v>2024</v>
      </c>
      <c r="E41" t="s">
        <v>15</v>
      </c>
      <c r="F41" t="s">
        <v>7</v>
      </c>
      <c r="G41" t="s">
        <v>16</v>
      </c>
      <c r="H41" t="s">
        <v>69</v>
      </c>
      <c r="I41" t="s">
        <v>59</v>
      </c>
      <c r="J41" t="s">
        <v>67</v>
      </c>
      <c r="K41" s="2">
        <v>4</v>
      </c>
      <c r="L41" t="s">
        <v>143</v>
      </c>
      <c r="M41" s="3">
        <v>50</v>
      </c>
      <c r="N41" t="s">
        <v>45</v>
      </c>
      <c r="O41" t="s">
        <v>16</v>
      </c>
      <c r="P41" t="s">
        <v>113</v>
      </c>
      <c r="Q41" t="s">
        <v>146</v>
      </c>
      <c r="R41" s="3">
        <v>200</v>
      </c>
      <c r="S41" s="4">
        <v>12</v>
      </c>
      <c r="T41" t="s">
        <v>145</v>
      </c>
      <c r="U41">
        <v>188</v>
      </c>
      <c r="V41">
        <v>1</v>
      </c>
      <c r="W41"/>
    </row>
    <row r="42" spans="1:23" x14ac:dyDescent="0.3">
      <c r="A42">
        <v>41</v>
      </c>
      <c r="B42" s="1">
        <v>45332</v>
      </c>
      <c r="C42" t="s">
        <v>157</v>
      </c>
      <c r="D42">
        <v>2024</v>
      </c>
      <c r="E42" t="s">
        <v>15</v>
      </c>
      <c r="F42" t="s">
        <v>7</v>
      </c>
      <c r="G42" t="s">
        <v>16</v>
      </c>
      <c r="H42" t="s">
        <v>71</v>
      </c>
      <c r="I42" t="s">
        <v>63</v>
      </c>
      <c r="J42" t="s">
        <v>64</v>
      </c>
      <c r="K42" s="2">
        <v>1</v>
      </c>
      <c r="L42" t="s">
        <v>143</v>
      </c>
      <c r="M42" s="3">
        <v>300</v>
      </c>
      <c r="N42" t="s">
        <v>51</v>
      </c>
      <c r="O42" t="s">
        <v>6</v>
      </c>
      <c r="P42" t="s">
        <v>113</v>
      </c>
      <c r="Q42" t="s">
        <v>144</v>
      </c>
      <c r="R42" s="3">
        <v>300</v>
      </c>
      <c r="S42" s="4">
        <v>0</v>
      </c>
      <c r="T42" t="s">
        <v>145</v>
      </c>
      <c r="U42">
        <v>300</v>
      </c>
      <c r="V42">
        <v>1</v>
      </c>
      <c r="W42"/>
    </row>
    <row r="43" spans="1:23" x14ac:dyDescent="0.3">
      <c r="A43">
        <v>42</v>
      </c>
      <c r="B43" s="1">
        <v>45598</v>
      </c>
      <c r="C43" t="s">
        <v>162</v>
      </c>
      <c r="D43">
        <v>2024</v>
      </c>
      <c r="E43" t="s">
        <v>5</v>
      </c>
      <c r="F43" t="s">
        <v>7</v>
      </c>
      <c r="G43" t="s">
        <v>6</v>
      </c>
      <c r="H43" t="s">
        <v>58</v>
      </c>
      <c r="I43" t="s">
        <v>59</v>
      </c>
      <c r="J43" t="s">
        <v>60</v>
      </c>
      <c r="K43" s="2">
        <v>5</v>
      </c>
      <c r="L43" t="s">
        <v>143</v>
      </c>
      <c r="M43" s="3">
        <v>800</v>
      </c>
      <c r="N43" t="s">
        <v>47</v>
      </c>
      <c r="O43" t="s">
        <v>10</v>
      </c>
      <c r="P43" t="s">
        <v>115</v>
      </c>
      <c r="Q43" t="s">
        <v>144</v>
      </c>
      <c r="R43" s="3">
        <v>4000</v>
      </c>
      <c r="S43" s="4">
        <v>280</v>
      </c>
      <c r="T43" t="s">
        <v>150</v>
      </c>
      <c r="U43">
        <v>3720</v>
      </c>
      <c r="V43">
        <v>1</v>
      </c>
      <c r="W43"/>
    </row>
    <row r="44" spans="1:23" x14ac:dyDescent="0.3">
      <c r="A44">
        <v>43</v>
      </c>
      <c r="B44" s="1">
        <v>45628</v>
      </c>
      <c r="C44" t="s">
        <v>163</v>
      </c>
      <c r="D44">
        <v>2024</v>
      </c>
      <c r="E44" t="s">
        <v>9</v>
      </c>
      <c r="F44" t="s">
        <v>7</v>
      </c>
      <c r="G44" t="s">
        <v>10</v>
      </c>
      <c r="H44" t="s">
        <v>73</v>
      </c>
      <c r="I44" t="s">
        <v>59</v>
      </c>
      <c r="J44" t="s">
        <v>74</v>
      </c>
      <c r="K44" s="2">
        <v>2</v>
      </c>
      <c r="L44" t="s">
        <v>143</v>
      </c>
      <c r="M44" s="3">
        <v>200</v>
      </c>
      <c r="N44" t="s">
        <v>49</v>
      </c>
      <c r="O44" t="s">
        <v>10</v>
      </c>
      <c r="P44" t="s">
        <v>117</v>
      </c>
      <c r="Q44" t="s">
        <v>146</v>
      </c>
      <c r="R44" s="3">
        <v>400</v>
      </c>
      <c r="S44" s="4">
        <v>0</v>
      </c>
      <c r="T44" t="s">
        <v>145</v>
      </c>
      <c r="U44">
        <v>400</v>
      </c>
      <c r="V44">
        <v>1</v>
      </c>
      <c r="W44"/>
    </row>
    <row r="45" spans="1:23" x14ac:dyDescent="0.3">
      <c r="A45">
        <v>44</v>
      </c>
      <c r="B45" s="1">
        <v>45335</v>
      </c>
      <c r="C45" t="s">
        <v>157</v>
      </c>
      <c r="D45">
        <v>2024</v>
      </c>
      <c r="E45" t="s">
        <v>12</v>
      </c>
      <c r="F45" t="s">
        <v>7</v>
      </c>
      <c r="G45" t="s">
        <v>13</v>
      </c>
      <c r="H45" t="s">
        <v>62</v>
      </c>
      <c r="I45" t="s">
        <v>63</v>
      </c>
      <c r="J45" t="s">
        <v>64</v>
      </c>
      <c r="K45" s="2">
        <v>3</v>
      </c>
      <c r="L45" t="s">
        <v>143</v>
      </c>
      <c r="M45" s="3">
        <v>150</v>
      </c>
      <c r="N45" t="s">
        <v>51</v>
      </c>
      <c r="O45" t="s">
        <v>6</v>
      </c>
      <c r="P45" t="s">
        <v>113</v>
      </c>
      <c r="Q45" t="s">
        <v>144</v>
      </c>
      <c r="R45" s="3">
        <v>450</v>
      </c>
      <c r="S45" s="4">
        <v>22.5</v>
      </c>
      <c r="T45" t="s">
        <v>145</v>
      </c>
      <c r="U45">
        <v>427.5</v>
      </c>
      <c r="V45">
        <v>1</v>
      </c>
      <c r="W45"/>
    </row>
    <row r="46" spans="1:23" x14ac:dyDescent="0.3">
      <c r="A46">
        <v>45</v>
      </c>
      <c r="B46" s="1">
        <v>45336</v>
      </c>
      <c r="C46" t="s">
        <v>157</v>
      </c>
      <c r="D46">
        <v>2024</v>
      </c>
      <c r="E46" t="s">
        <v>15</v>
      </c>
      <c r="F46" t="s">
        <v>7</v>
      </c>
      <c r="G46" t="s">
        <v>16</v>
      </c>
      <c r="H46" t="s">
        <v>66</v>
      </c>
      <c r="I46" t="s">
        <v>59</v>
      </c>
      <c r="J46" t="s">
        <v>67</v>
      </c>
      <c r="K46" s="2">
        <v>1</v>
      </c>
      <c r="L46" t="s">
        <v>143</v>
      </c>
      <c r="M46" s="3">
        <v>20</v>
      </c>
      <c r="N46" t="s">
        <v>45</v>
      </c>
      <c r="O46" t="s">
        <v>16</v>
      </c>
      <c r="P46" t="s">
        <v>113</v>
      </c>
      <c r="Q46" t="s">
        <v>144</v>
      </c>
      <c r="R46" s="3">
        <v>20</v>
      </c>
      <c r="S46" s="4">
        <v>0</v>
      </c>
      <c r="T46" t="s">
        <v>145</v>
      </c>
      <c r="U46">
        <v>20</v>
      </c>
      <c r="V46">
        <v>1</v>
      </c>
      <c r="W46"/>
    </row>
    <row r="47" spans="1:23" x14ac:dyDescent="0.3">
      <c r="A47">
        <v>46</v>
      </c>
      <c r="B47" s="1">
        <v>45337</v>
      </c>
      <c r="C47" t="s">
        <v>157</v>
      </c>
      <c r="D47">
        <v>2024</v>
      </c>
      <c r="E47" t="s">
        <v>5</v>
      </c>
      <c r="F47" t="s">
        <v>7</v>
      </c>
      <c r="G47" t="s">
        <v>6</v>
      </c>
      <c r="H47" t="s">
        <v>69</v>
      </c>
      <c r="I47" t="s">
        <v>59</v>
      </c>
      <c r="J47" t="s">
        <v>67</v>
      </c>
      <c r="K47" s="2">
        <v>2</v>
      </c>
      <c r="L47" t="s">
        <v>143</v>
      </c>
      <c r="M47" s="3">
        <v>50</v>
      </c>
      <c r="N47" t="s">
        <v>51</v>
      </c>
      <c r="O47" t="s">
        <v>13</v>
      </c>
      <c r="P47" t="s">
        <v>113</v>
      </c>
      <c r="Q47" t="s">
        <v>146</v>
      </c>
      <c r="R47" s="3">
        <v>100</v>
      </c>
      <c r="S47" s="4">
        <v>4</v>
      </c>
      <c r="T47" t="s">
        <v>145</v>
      </c>
      <c r="U47">
        <v>96</v>
      </c>
      <c r="V47">
        <v>1</v>
      </c>
      <c r="W47"/>
    </row>
    <row r="48" spans="1:23" x14ac:dyDescent="0.3">
      <c r="A48">
        <v>47</v>
      </c>
      <c r="B48" s="1">
        <v>45338</v>
      </c>
      <c r="C48" t="s">
        <v>157</v>
      </c>
      <c r="D48">
        <v>2024</v>
      </c>
      <c r="E48" t="s">
        <v>9</v>
      </c>
      <c r="F48" t="s">
        <v>7</v>
      </c>
      <c r="G48" t="s">
        <v>10</v>
      </c>
      <c r="H48" t="s">
        <v>71</v>
      </c>
      <c r="I48" t="s">
        <v>63</v>
      </c>
      <c r="J48" t="s">
        <v>64</v>
      </c>
      <c r="K48" s="2">
        <v>4</v>
      </c>
      <c r="L48" t="s">
        <v>143</v>
      </c>
      <c r="M48" s="3">
        <v>300</v>
      </c>
      <c r="N48" t="s">
        <v>47</v>
      </c>
      <c r="O48" t="s">
        <v>6</v>
      </c>
      <c r="P48" t="s">
        <v>115</v>
      </c>
      <c r="Q48" t="s">
        <v>144</v>
      </c>
      <c r="R48" s="3">
        <v>1200</v>
      </c>
      <c r="S48" s="4">
        <v>60</v>
      </c>
      <c r="T48" t="s">
        <v>149</v>
      </c>
      <c r="U48">
        <v>1140</v>
      </c>
      <c r="V48">
        <v>1</v>
      </c>
      <c r="W48"/>
    </row>
    <row r="49" spans="1:23" x14ac:dyDescent="0.3">
      <c r="A49">
        <v>48</v>
      </c>
      <c r="B49" s="1">
        <v>45339</v>
      </c>
      <c r="C49" t="s">
        <v>157</v>
      </c>
      <c r="D49">
        <v>2024</v>
      </c>
      <c r="E49" t="s">
        <v>12</v>
      </c>
      <c r="F49" t="s">
        <v>7</v>
      </c>
      <c r="G49" t="s">
        <v>13</v>
      </c>
      <c r="H49" t="s">
        <v>58</v>
      </c>
      <c r="I49" t="s">
        <v>59</v>
      </c>
      <c r="J49" t="s">
        <v>60</v>
      </c>
      <c r="K49" s="2"/>
      <c r="L49" t="s">
        <v>147</v>
      </c>
      <c r="M49" s="3">
        <v>800</v>
      </c>
      <c r="N49" t="s">
        <v>49</v>
      </c>
      <c r="O49" t="s">
        <v>10</v>
      </c>
      <c r="P49" t="s">
        <v>117</v>
      </c>
      <c r="Q49" t="s">
        <v>148</v>
      </c>
      <c r="R49" s="3"/>
      <c r="S49" s="4"/>
      <c r="V49">
        <v>1</v>
      </c>
      <c r="W49"/>
    </row>
    <row r="50" spans="1:23" x14ac:dyDescent="0.3">
      <c r="A50">
        <v>49</v>
      </c>
      <c r="B50" s="1">
        <v>45340</v>
      </c>
      <c r="C50" t="s">
        <v>157</v>
      </c>
      <c r="D50">
        <v>2024</v>
      </c>
      <c r="E50" t="s">
        <v>15</v>
      </c>
      <c r="F50" t="s">
        <v>7</v>
      </c>
      <c r="G50" t="s">
        <v>16</v>
      </c>
      <c r="H50" t="s">
        <v>62</v>
      </c>
      <c r="I50" t="s">
        <v>63</v>
      </c>
      <c r="J50" t="s">
        <v>64</v>
      </c>
      <c r="K50" s="2">
        <v>2</v>
      </c>
      <c r="L50" t="s">
        <v>143</v>
      </c>
      <c r="M50" s="3">
        <v>150</v>
      </c>
      <c r="N50" t="s">
        <v>51</v>
      </c>
      <c r="O50" t="s">
        <v>6</v>
      </c>
      <c r="P50" t="s">
        <v>113</v>
      </c>
      <c r="Q50" t="s">
        <v>144</v>
      </c>
      <c r="R50" s="3">
        <v>300</v>
      </c>
      <c r="S50" s="4">
        <v>15</v>
      </c>
      <c r="T50" t="s">
        <v>145</v>
      </c>
      <c r="U50">
        <v>285</v>
      </c>
      <c r="V50">
        <v>1</v>
      </c>
      <c r="W50"/>
    </row>
    <row r="51" spans="1:23" x14ac:dyDescent="0.3">
      <c r="A51">
        <v>50</v>
      </c>
      <c r="B51" s="1">
        <v>45341</v>
      </c>
      <c r="C51" t="s">
        <v>157</v>
      </c>
      <c r="D51">
        <v>2024</v>
      </c>
      <c r="E51" t="s">
        <v>5</v>
      </c>
      <c r="F51" t="s">
        <v>7</v>
      </c>
      <c r="G51" t="s">
        <v>6</v>
      </c>
      <c r="H51" t="s">
        <v>66</v>
      </c>
      <c r="I51" t="s">
        <v>59</v>
      </c>
      <c r="J51" t="s">
        <v>67</v>
      </c>
      <c r="K51" s="2">
        <v>5</v>
      </c>
      <c r="L51" t="s">
        <v>143</v>
      </c>
      <c r="M51" s="3">
        <v>20</v>
      </c>
      <c r="N51" t="s">
        <v>45</v>
      </c>
      <c r="O51" t="s">
        <v>10</v>
      </c>
      <c r="P51" t="s">
        <v>113</v>
      </c>
      <c r="Q51" t="s">
        <v>146</v>
      </c>
      <c r="R51" s="3">
        <v>100</v>
      </c>
      <c r="S51" s="4">
        <v>7</v>
      </c>
      <c r="T51" t="s">
        <v>145</v>
      </c>
      <c r="U51">
        <v>93</v>
      </c>
      <c r="V51">
        <v>1</v>
      </c>
      <c r="W51"/>
    </row>
    <row r="52" spans="1:23" x14ac:dyDescent="0.3">
      <c r="A52">
        <v>51</v>
      </c>
      <c r="B52" s="1">
        <v>45342</v>
      </c>
      <c r="C52" t="s">
        <v>157</v>
      </c>
      <c r="D52">
        <v>2024</v>
      </c>
      <c r="E52" t="s">
        <v>12</v>
      </c>
      <c r="F52" t="s">
        <v>7</v>
      </c>
      <c r="G52" t="s">
        <v>13</v>
      </c>
      <c r="H52" t="s">
        <v>69</v>
      </c>
      <c r="I52" t="s">
        <v>59</v>
      </c>
      <c r="J52" t="s">
        <v>67</v>
      </c>
      <c r="K52" s="2">
        <v>1</v>
      </c>
      <c r="L52" t="s">
        <v>143</v>
      </c>
      <c r="M52" s="3">
        <v>50</v>
      </c>
      <c r="N52" t="s">
        <v>51</v>
      </c>
      <c r="O52" t="s">
        <v>6</v>
      </c>
      <c r="P52" t="s">
        <v>113</v>
      </c>
      <c r="Q52" t="s">
        <v>144</v>
      </c>
      <c r="R52" s="3">
        <v>50</v>
      </c>
      <c r="S52" s="4">
        <v>0</v>
      </c>
      <c r="T52" t="s">
        <v>145</v>
      </c>
      <c r="U52">
        <v>50</v>
      </c>
      <c r="V52">
        <v>1</v>
      </c>
      <c r="W52"/>
    </row>
    <row r="53" spans="1:23" x14ac:dyDescent="0.3">
      <c r="A53">
        <v>52</v>
      </c>
      <c r="B53" s="1">
        <v>45343</v>
      </c>
      <c r="C53" t="s">
        <v>157</v>
      </c>
      <c r="D53">
        <v>2024</v>
      </c>
      <c r="E53" t="s">
        <v>15</v>
      </c>
      <c r="F53" t="s">
        <v>7</v>
      </c>
      <c r="G53" t="s">
        <v>16</v>
      </c>
      <c r="H53" t="s">
        <v>71</v>
      </c>
      <c r="I53" t="s">
        <v>63</v>
      </c>
      <c r="J53" t="s">
        <v>64</v>
      </c>
      <c r="K53" s="2">
        <v>3</v>
      </c>
      <c r="L53" t="s">
        <v>143</v>
      </c>
      <c r="M53" s="3">
        <v>300</v>
      </c>
      <c r="N53" t="s">
        <v>47</v>
      </c>
      <c r="O53" t="s">
        <v>10</v>
      </c>
      <c r="P53" t="s">
        <v>115</v>
      </c>
      <c r="Q53" t="s">
        <v>146</v>
      </c>
      <c r="R53" s="3">
        <v>900</v>
      </c>
      <c r="S53" s="4">
        <v>63</v>
      </c>
      <c r="T53" t="s">
        <v>145</v>
      </c>
      <c r="U53">
        <v>837</v>
      </c>
      <c r="V53">
        <v>1</v>
      </c>
      <c r="W53"/>
    </row>
    <row r="54" spans="1:23" x14ac:dyDescent="0.3">
      <c r="A54">
        <v>53</v>
      </c>
      <c r="B54" s="1">
        <v>45344</v>
      </c>
      <c r="C54" t="s">
        <v>157</v>
      </c>
      <c r="D54">
        <v>2024</v>
      </c>
      <c r="E54" t="s">
        <v>5</v>
      </c>
      <c r="F54" t="s">
        <v>7</v>
      </c>
      <c r="G54" t="s">
        <v>6</v>
      </c>
      <c r="H54" t="s">
        <v>58</v>
      </c>
      <c r="I54" t="s">
        <v>59</v>
      </c>
      <c r="J54" t="s">
        <v>60</v>
      </c>
      <c r="K54" s="2">
        <v>2</v>
      </c>
      <c r="L54" t="s">
        <v>143</v>
      </c>
      <c r="M54" s="3">
        <v>800</v>
      </c>
      <c r="N54" t="s">
        <v>49</v>
      </c>
      <c r="O54" t="s">
        <v>13</v>
      </c>
      <c r="P54" t="s">
        <v>117</v>
      </c>
      <c r="Q54" t="s">
        <v>144</v>
      </c>
      <c r="R54" s="3">
        <v>1600</v>
      </c>
      <c r="S54" s="4">
        <v>64</v>
      </c>
      <c r="T54" t="s">
        <v>149</v>
      </c>
      <c r="U54">
        <v>1536</v>
      </c>
      <c r="V54">
        <v>1</v>
      </c>
      <c r="W54"/>
    </row>
    <row r="55" spans="1:23" x14ac:dyDescent="0.3">
      <c r="A55">
        <v>54</v>
      </c>
      <c r="B55" s="1">
        <v>45345</v>
      </c>
      <c r="C55" t="s">
        <v>157</v>
      </c>
      <c r="D55">
        <v>2024</v>
      </c>
      <c r="E55" t="s">
        <v>9</v>
      </c>
      <c r="F55" t="s">
        <v>7</v>
      </c>
      <c r="G55" t="s">
        <v>10</v>
      </c>
      <c r="H55" t="s">
        <v>62</v>
      </c>
      <c r="I55" t="s">
        <v>63</v>
      </c>
      <c r="J55" t="s">
        <v>64</v>
      </c>
      <c r="K55" s="2">
        <v>1</v>
      </c>
      <c r="L55" t="s">
        <v>143</v>
      </c>
      <c r="M55" s="3">
        <v>150</v>
      </c>
      <c r="N55" t="s">
        <v>51</v>
      </c>
      <c r="O55" t="s">
        <v>6</v>
      </c>
      <c r="P55" t="s">
        <v>113</v>
      </c>
      <c r="Q55" t="s">
        <v>144</v>
      </c>
      <c r="R55" s="3">
        <v>150</v>
      </c>
      <c r="S55" s="4">
        <v>0</v>
      </c>
      <c r="T55" t="s">
        <v>145</v>
      </c>
      <c r="U55">
        <v>150</v>
      </c>
      <c r="V55">
        <v>1</v>
      </c>
      <c r="W55"/>
    </row>
    <row r="56" spans="1:23" x14ac:dyDescent="0.3">
      <c r="A56">
        <v>55</v>
      </c>
      <c r="B56" s="1">
        <v>45346</v>
      </c>
      <c r="C56" t="s">
        <v>157</v>
      </c>
      <c r="D56">
        <v>2024</v>
      </c>
      <c r="E56" t="s">
        <v>12</v>
      </c>
      <c r="F56" t="s">
        <v>7</v>
      </c>
      <c r="G56" t="s">
        <v>13</v>
      </c>
      <c r="H56" t="s">
        <v>66</v>
      </c>
      <c r="I56" t="s">
        <v>59</v>
      </c>
      <c r="J56" t="s">
        <v>67</v>
      </c>
      <c r="K56" s="2"/>
      <c r="L56" t="s">
        <v>147</v>
      </c>
      <c r="M56" s="3">
        <v>20</v>
      </c>
      <c r="N56" t="s">
        <v>45</v>
      </c>
      <c r="O56" t="s">
        <v>16</v>
      </c>
      <c r="P56" t="s">
        <v>113</v>
      </c>
      <c r="Q56" t="s">
        <v>148</v>
      </c>
      <c r="R56" s="3"/>
      <c r="S56" s="4"/>
      <c r="V56">
        <v>1</v>
      </c>
      <c r="W56"/>
    </row>
    <row r="57" spans="1:23" x14ac:dyDescent="0.3">
      <c r="A57">
        <v>56</v>
      </c>
      <c r="B57" s="1">
        <v>45347</v>
      </c>
      <c r="C57" t="s">
        <v>157</v>
      </c>
      <c r="D57">
        <v>2024</v>
      </c>
      <c r="E57" t="s">
        <v>15</v>
      </c>
      <c r="F57" t="s">
        <v>7</v>
      </c>
      <c r="G57" t="s">
        <v>16</v>
      </c>
      <c r="H57" t="s">
        <v>69</v>
      </c>
      <c r="I57" t="s">
        <v>59</v>
      </c>
      <c r="J57" t="s">
        <v>67</v>
      </c>
      <c r="K57" s="2">
        <v>5</v>
      </c>
      <c r="L57" t="s">
        <v>143</v>
      </c>
      <c r="M57" s="3">
        <v>50</v>
      </c>
      <c r="N57" t="s">
        <v>51</v>
      </c>
      <c r="O57" t="s">
        <v>6</v>
      </c>
      <c r="P57" t="s">
        <v>113</v>
      </c>
      <c r="Q57" t="s">
        <v>146</v>
      </c>
      <c r="R57" s="3">
        <v>250</v>
      </c>
      <c r="S57" s="4">
        <v>12.5</v>
      </c>
      <c r="T57" t="s">
        <v>145</v>
      </c>
      <c r="U57">
        <v>237.5</v>
      </c>
      <c r="V57">
        <v>1</v>
      </c>
      <c r="W57"/>
    </row>
    <row r="58" spans="1:23" x14ac:dyDescent="0.3">
      <c r="A58">
        <v>57</v>
      </c>
      <c r="B58" s="1">
        <v>45348</v>
      </c>
      <c r="C58" t="s">
        <v>157</v>
      </c>
      <c r="D58">
        <v>2024</v>
      </c>
      <c r="E58" t="s">
        <v>5</v>
      </c>
      <c r="F58" t="s">
        <v>7</v>
      </c>
      <c r="G58" t="s">
        <v>6</v>
      </c>
      <c r="H58" t="s">
        <v>71</v>
      </c>
      <c r="I58" t="s">
        <v>63</v>
      </c>
      <c r="J58" t="s">
        <v>64</v>
      </c>
      <c r="K58" s="2">
        <v>2</v>
      </c>
      <c r="L58" t="s">
        <v>143</v>
      </c>
      <c r="M58" s="3">
        <v>300</v>
      </c>
      <c r="N58" t="s">
        <v>47</v>
      </c>
      <c r="O58" t="s">
        <v>10</v>
      </c>
      <c r="P58" t="s">
        <v>115</v>
      </c>
      <c r="Q58" t="s">
        <v>144</v>
      </c>
      <c r="R58" s="3">
        <v>600</v>
      </c>
      <c r="S58" s="4">
        <v>0</v>
      </c>
      <c r="T58" t="s">
        <v>145</v>
      </c>
      <c r="U58">
        <v>600</v>
      </c>
      <c r="V58">
        <v>1</v>
      </c>
      <c r="W58"/>
    </row>
    <row r="59" spans="1:23" x14ac:dyDescent="0.3">
      <c r="A59">
        <v>58</v>
      </c>
      <c r="B59" s="1">
        <v>45349</v>
      </c>
      <c r="C59" t="s">
        <v>157</v>
      </c>
      <c r="D59">
        <v>2024</v>
      </c>
      <c r="E59" t="s">
        <v>9</v>
      </c>
      <c r="F59" t="s">
        <v>7</v>
      </c>
      <c r="G59" t="s">
        <v>10</v>
      </c>
      <c r="H59" t="s">
        <v>58</v>
      </c>
      <c r="I59" t="s">
        <v>59</v>
      </c>
      <c r="J59" t="s">
        <v>60</v>
      </c>
      <c r="K59" s="2">
        <v>3</v>
      </c>
      <c r="L59" t="s">
        <v>143</v>
      </c>
      <c r="M59" s="3">
        <v>800</v>
      </c>
      <c r="N59" t="s">
        <v>49</v>
      </c>
      <c r="O59" t="s">
        <v>10</v>
      </c>
      <c r="P59" t="s">
        <v>117</v>
      </c>
      <c r="Q59" t="s">
        <v>144</v>
      </c>
      <c r="R59" s="3">
        <v>2400</v>
      </c>
      <c r="S59" s="4">
        <v>168</v>
      </c>
      <c r="T59" t="s">
        <v>150</v>
      </c>
      <c r="U59">
        <v>2232</v>
      </c>
      <c r="V59">
        <v>1</v>
      </c>
      <c r="W59"/>
    </row>
    <row r="60" spans="1:23" x14ac:dyDescent="0.3">
      <c r="A60">
        <v>59</v>
      </c>
      <c r="B60" s="1">
        <v>45350</v>
      </c>
      <c r="C60" t="s">
        <v>157</v>
      </c>
      <c r="D60">
        <v>2024</v>
      </c>
      <c r="E60" t="s">
        <v>12</v>
      </c>
      <c r="F60" t="s">
        <v>7</v>
      </c>
      <c r="G60" t="s">
        <v>13</v>
      </c>
      <c r="H60" t="s">
        <v>73</v>
      </c>
      <c r="I60" t="s">
        <v>59</v>
      </c>
      <c r="J60" t="s">
        <v>74</v>
      </c>
      <c r="K60" s="2">
        <v>2</v>
      </c>
      <c r="L60" t="s">
        <v>143</v>
      </c>
      <c r="M60" s="3">
        <v>200</v>
      </c>
      <c r="N60" t="s">
        <v>51</v>
      </c>
      <c r="O60" t="s">
        <v>13</v>
      </c>
      <c r="P60" t="s">
        <v>113</v>
      </c>
      <c r="Q60" t="s">
        <v>146</v>
      </c>
      <c r="R60" s="3">
        <v>400</v>
      </c>
      <c r="S60" s="4">
        <v>16</v>
      </c>
      <c r="T60" t="s">
        <v>145</v>
      </c>
      <c r="U60">
        <v>384</v>
      </c>
      <c r="V60">
        <v>1</v>
      </c>
      <c r="W60"/>
    </row>
    <row r="61" spans="1:23" x14ac:dyDescent="0.3">
      <c r="A61">
        <v>60</v>
      </c>
      <c r="B61" s="1">
        <v>45351</v>
      </c>
      <c r="C61" t="s">
        <v>157</v>
      </c>
      <c r="D61">
        <v>2024</v>
      </c>
      <c r="E61" t="s">
        <v>15</v>
      </c>
      <c r="F61" t="s">
        <v>7</v>
      </c>
      <c r="G61" t="s">
        <v>16</v>
      </c>
      <c r="H61" t="s">
        <v>62</v>
      </c>
      <c r="I61" t="s">
        <v>63</v>
      </c>
      <c r="J61" t="s">
        <v>64</v>
      </c>
      <c r="K61" s="2">
        <v>4</v>
      </c>
      <c r="L61" t="s">
        <v>143</v>
      </c>
      <c r="M61" s="3">
        <v>150</v>
      </c>
      <c r="N61" t="s">
        <v>45</v>
      </c>
      <c r="O61" t="s">
        <v>6</v>
      </c>
      <c r="P61" t="s">
        <v>113</v>
      </c>
      <c r="Q61" t="s">
        <v>144</v>
      </c>
      <c r="R61" s="3">
        <v>600</v>
      </c>
      <c r="S61" s="4">
        <v>30</v>
      </c>
      <c r="T61" t="s">
        <v>145</v>
      </c>
      <c r="U61">
        <v>570</v>
      </c>
      <c r="V61">
        <v>1</v>
      </c>
      <c r="W61"/>
    </row>
    <row r="62" spans="1:23" x14ac:dyDescent="0.3">
      <c r="A62">
        <v>61</v>
      </c>
      <c r="B62" s="1">
        <v>45294</v>
      </c>
      <c r="C62" t="s">
        <v>153</v>
      </c>
      <c r="D62">
        <v>2024</v>
      </c>
      <c r="E62" t="s">
        <v>5</v>
      </c>
      <c r="F62" t="s">
        <v>7</v>
      </c>
      <c r="G62" t="s">
        <v>6</v>
      </c>
      <c r="H62" t="s">
        <v>66</v>
      </c>
      <c r="I62" t="s">
        <v>59</v>
      </c>
      <c r="J62" t="s">
        <v>67</v>
      </c>
      <c r="K62" s="2">
        <v>1</v>
      </c>
      <c r="L62" t="s">
        <v>143</v>
      </c>
      <c r="M62" s="3">
        <v>20</v>
      </c>
      <c r="N62" t="s">
        <v>51</v>
      </c>
      <c r="O62" t="s">
        <v>6</v>
      </c>
      <c r="P62" t="s">
        <v>113</v>
      </c>
      <c r="Q62" t="s">
        <v>144</v>
      </c>
      <c r="R62" s="3">
        <v>20</v>
      </c>
      <c r="S62" s="4">
        <v>0</v>
      </c>
      <c r="T62" t="s">
        <v>145</v>
      </c>
      <c r="U62">
        <v>20</v>
      </c>
      <c r="V62">
        <v>1</v>
      </c>
      <c r="W62"/>
    </row>
    <row r="63" spans="1:23" x14ac:dyDescent="0.3">
      <c r="A63">
        <v>62</v>
      </c>
      <c r="B63" s="1">
        <v>45325</v>
      </c>
      <c r="C63" t="s">
        <v>157</v>
      </c>
      <c r="D63">
        <v>2024</v>
      </c>
      <c r="E63" t="s">
        <v>9</v>
      </c>
      <c r="F63" t="s">
        <v>7</v>
      </c>
      <c r="G63" t="s">
        <v>10</v>
      </c>
      <c r="H63" t="s">
        <v>69</v>
      </c>
      <c r="I63" t="s">
        <v>59</v>
      </c>
      <c r="J63" t="s">
        <v>67</v>
      </c>
      <c r="K63" s="2">
        <v>2</v>
      </c>
      <c r="L63" t="s">
        <v>143</v>
      </c>
      <c r="M63" s="3">
        <v>50</v>
      </c>
      <c r="N63" t="s">
        <v>47</v>
      </c>
      <c r="O63" t="s">
        <v>10</v>
      </c>
      <c r="P63" t="s">
        <v>115</v>
      </c>
      <c r="Q63" t="s">
        <v>144</v>
      </c>
      <c r="R63" s="3">
        <v>100</v>
      </c>
      <c r="S63" s="4">
        <v>0</v>
      </c>
      <c r="T63" t="s">
        <v>145</v>
      </c>
      <c r="U63">
        <v>100</v>
      </c>
      <c r="V63">
        <v>1</v>
      </c>
      <c r="W63"/>
    </row>
    <row r="64" spans="1:23" x14ac:dyDescent="0.3">
      <c r="A64">
        <v>63</v>
      </c>
      <c r="B64" s="1">
        <v>45354</v>
      </c>
      <c r="C64" t="s">
        <v>158</v>
      </c>
      <c r="D64">
        <v>2024</v>
      </c>
      <c r="E64" t="s">
        <v>12</v>
      </c>
      <c r="F64" t="s">
        <v>7</v>
      </c>
      <c r="G64" t="s">
        <v>13</v>
      </c>
      <c r="H64" t="s">
        <v>71</v>
      </c>
      <c r="I64" t="s">
        <v>63</v>
      </c>
      <c r="J64" t="s">
        <v>64</v>
      </c>
      <c r="K64" s="2">
        <v>5</v>
      </c>
      <c r="L64" t="s">
        <v>143</v>
      </c>
      <c r="M64" s="3">
        <v>300</v>
      </c>
      <c r="N64" t="s">
        <v>49</v>
      </c>
      <c r="O64" t="s">
        <v>10</v>
      </c>
      <c r="P64" t="s">
        <v>117</v>
      </c>
      <c r="Q64" t="s">
        <v>146</v>
      </c>
      <c r="R64" s="3">
        <v>1500</v>
      </c>
      <c r="S64" s="4">
        <v>105</v>
      </c>
      <c r="T64" t="s">
        <v>149</v>
      </c>
      <c r="U64">
        <v>1395</v>
      </c>
      <c r="V64">
        <v>1</v>
      </c>
      <c r="W64"/>
    </row>
    <row r="65" spans="1:23" x14ac:dyDescent="0.3">
      <c r="A65">
        <v>64</v>
      </c>
      <c r="B65" s="1">
        <v>45385</v>
      </c>
      <c r="C65" t="s">
        <v>156</v>
      </c>
      <c r="D65">
        <v>2024</v>
      </c>
      <c r="E65" t="s">
        <v>15</v>
      </c>
      <c r="F65" t="s">
        <v>7</v>
      </c>
      <c r="G65" t="s">
        <v>16</v>
      </c>
      <c r="H65" t="s">
        <v>58</v>
      </c>
      <c r="I65" t="s">
        <v>59</v>
      </c>
      <c r="J65" t="s">
        <v>60</v>
      </c>
      <c r="K65" s="2">
        <v>2</v>
      </c>
      <c r="L65" t="s">
        <v>143</v>
      </c>
      <c r="M65" s="3">
        <v>800</v>
      </c>
      <c r="N65" t="s">
        <v>51</v>
      </c>
      <c r="O65" t="s">
        <v>13</v>
      </c>
      <c r="P65" t="s">
        <v>113</v>
      </c>
      <c r="Q65" t="s">
        <v>144</v>
      </c>
      <c r="R65" s="3">
        <v>1600</v>
      </c>
      <c r="S65" s="4">
        <v>64</v>
      </c>
      <c r="T65" t="s">
        <v>149</v>
      </c>
      <c r="U65">
        <v>1536</v>
      </c>
      <c r="V65">
        <v>1</v>
      </c>
      <c r="W65"/>
    </row>
    <row r="66" spans="1:23" x14ac:dyDescent="0.3">
      <c r="A66">
        <v>65</v>
      </c>
      <c r="B66" s="1">
        <v>45415</v>
      </c>
      <c r="C66" t="s">
        <v>159</v>
      </c>
      <c r="D66">
        <v>2024</v>
      </c>
      <c r="E66" t="s">
        <v>5</v>
      </c>
      <c r="F66" t="s">
        <v>7</v>
      </c>
      <c r="G66" t="s">
        <v>6</v>
      </c>
      <c r="H66" t="s">
        <v>62</v>
      </c>
      <c r="I66" t="s">
        <v>63</v>
      </c>
      <c r="J66" t="s">
        <v>64</v>
      </c>
      <c r="K66" s="2">
        <v>3</v>
      </c>
      <c r="L66" t="s">
        <v>143</v>
      </c>
      <c r="M66" s="3">
        <v>150</v>
      </c>
      <c r="N66" t="s">
        <v>45</v>
      </c>
      <c r="O66" t="s">
        <v>16</v>
      </c>
      <c r="P66" t="s">
        <v>113</v>
      </c>
      <c r="Q66" t="s">
        <v>144</v>
      </c>
      <c r="R66" s="3">
        <v>450</v>
      </c>
      <c r="S66" s="4">
        <v>27</v>
      </c>
      <c r="T66" t="s">
        <v>145</v>
      </c>
      <c r="U66">
        <v>423</v>
      </c>
      <c r="V66">
        <v>1</v>
      </c>
      <c r="W66"/>
    </row>
    <row r="67" spans="1:23" x14ac:dyDescent="0.3">
      <c r="A67">
        <v>66</v>
      </c>
      <c r="B67" s="1">
        <v>45446</v>
      </c>
      <c r="C67" t="s">
        <v>164</v>
      </c>
      <c r="D67">
        <v>2024</v>
      </c>
      <c r="E67" t="s">
        <v>9</v>
      </c>
      <c r="F67" t="s">
        <v>7</v>
      </c>
      <c r="G67" t="s">
        <v>10</v>
      </c>
      <c r="H67" t="s">
        <v>66</v>
      </c>
      <c r="I67" t="s">
        <v>59</v>
      </c>
      <c r="J67" t="s">
        <v>67</v>
      </c>
      <c r="K67" s="2"/>
      <c r="L67" t="s">
        <v>147</v>
      </c>
      <c r="M67" s="3">
        <v>20</v>
      </c>
      <c r="N67" t="s">
        <v>51</v>
      </c>
      <c r="O67" t="s">
        <v>6</v>
      </c>
      <c r="P67" t="s">
        <v>113</v>
      </c>
      <c r="Q67" t="s">
        <v>146</v>
      </c>
      <c r="R67" s="3"/>
      <c r="S67" s="4"/>
      <c r="V67">
        <v>1</v>
      </c>
      <c r="W67"/>
    </row>
    <row r="68" spans="1:23" x14ac:dyDescent="0.3">
      <c r="A68">
        <v>67</v>
      </c>
      <c r="B68" s="1">
        <v>45476</v>
      </c>
      <c r="C68" t="s">
        <v>160</v>
      </c>
      <c r="D68">
        <v>2024</v>
      </c>
      <c r="E68" t="s">
        <v>12</v>
      </c>
      <c r="F68" t="s">
        <v>7</v>
      </c>
      <c r="G68" t="s">
        <v>13</v>
      </c>
      <c r="H68" t="s">
        <v>69</v>
      </c>
      <c r="I68" t="s">
        <v>59</v>
      </c>
      <c r="J68" t="s">
        <v>67</v>
      </c>
      <c r="K68" s="2">
        <v>4</v>
      </c>
      <c r="L68" t="s">
        <v>143</v>
      </c>
      <c r="M68" s="3">
        <v>50</v>
      </c>
      <c r="N68" t="s">
        <v>47</v>
      </c>
      <c r="O68" t="s">
        <v>10</v>
      </c>
      <c r="P68" t="s">
        <v>115</v>
      </c>
      <c r="Q68" t="s">
        <v>144</v>
      </c>
      <c r="R68" s="3">
        <v>200</v>
      </c>
      <c r="S68" s="4">
        <v>14</v>
      </c>
      <c r="T68" t="s">
        <v>145</v>
      </c>
      <c r="U68">
        <v>186</v>
      </c>
      <c r="V68">
        <v>1</v>
      </c>
      <c r="W68"/>
    </row>
    <row r="69" spans="1:23" x14ac:dyDescent="0.3">
      <c r="A69">
        <v>68</v>
      </c>
      <c r="B69" s="1">
        <v>45507</v>
      </c>
      <c r="C69" t="s">
        <v>154</v>
      </c>
      <c r="D69">
        <v>2024</v>
      </c>
      <c r="E69" t="s">
        <v>15</v>
      </c>
      <c r="F69" t="s">
        <v>7</v>
      </c>
      <c r="G69" t="s">
        <v>16</v>
      </c>
      <c r="H69" t="s">
        <v>71</v>
      </c>
      <c r="I69" t="s">
        <v>63</v>
      </c>
      <c r="J69" t="s">
        <v>64</v>
      </c>
      <c r="K69" s="2">
        <v>1</v>
      </c>
      <c r="L69" t="s">
        <v>143</v>
      </c>
      <c r="M69" s="3">
        <v>300</v>
      </c>
      <c r="N69" t="s">
        <v>49</v>
      </c>
      <c r="O69" t="s">
        <v>6</v>
      </c>
      <c r="P69" t="s">
        <v>117</v>
      </c>
      <c r="Q69" t="s">
        <v>148</v>
      </c>
      <c r="R69" s="3">
        <v>300</v>
      </c>
      <c r="S69" s="4">
        <v>0</v>
      </c>
      <c r="T69" t="s">
        <v>145</v>
      </c>
      <c r="U69">
        <v>300</v>
      </c>
      <c r="V69">
        <v>1</v>
      </c>
      <c r="W69"/>
    </row>
    <row r="70" spans="1:23" x14ac:dyDescent="0.3">
      <c r="A70">
        <v>69</v>
      </c>
      <c r="B70" s="1">
        <v>45538</v>
      </c>
      <c r="C70" t="s">
        <v>161</v>
      </c>
      <c r="D70">
        <v>2024</v>
      </c>
      <c r="E70" t="s">
        <v>5</v>
      </c>
      <c r="F70" t="s">
        <v>7</v>
      </c>
      <c r="G70" t="s">
        <v>6</v>
      </c>
      <c r="H70" t="s">
        <v>58</v>
      </c>
      <c r="I70" t="s">
        <v>59</v>
      </c>
      <c r="J70" t="s">
        <v>60</v>
      </c>
      <c r="K70" s="2">
        <v>5</v>
      </c>
      <c r="L70" t="s">
        <v>143</v>
      </c>
      <c r="M70" s="3">
        <v>800</v>
      </c>
      <c r="N70" t="s">
        <v>51</v>
      </c>
      <c r="O70" t="s">
        <v>6</v>
      </c>
      <c r="P70" t="s">
        <v>113</v>
      </c>
      <c r="Q70" t="s">
        <v>144</v>
      </c>
      <c r="R70" s="3">
        <v>4000</v>
      </c>
      <c r="S70" s="4">
        <v>200</v>
      </c>
      <c r="T70" t="s">
        <v>150</v>
      </c>
      <c r="U70">
        <v>3800</v>
      </c>
      <c r="V70">
        <v>1</v>
      </c>
      <c r="W70"/>
    </row>
    <row r="71" spans="1:23" x14ac:dyDescent="0.3">
      <c r="A71">
        <v>70</v>
      </c>
      <c r="B71" s="1">
        <v>45568</v>
      </c>
      <c r="C71" t="s">
        <v>155</v>
      </c>
      <c r="D71">
        <v>2024</v>
      </c>
      <c r="E71" t="s">
        <v>9</v>
      </c>
      <c r="F71" t="s">
        <v>7</v>
      </c>
      <c r="G71" t="s">
        <v>10</v>
      </c>
      <c r="H71" t="s">
        <v>73</v>
      </c>
      <c r="I71" t="s">
        <v>59</v>
      </c>
      <c r="J71" t="s">
        <v>74</v>
      </c>
      <c r="K71" s="2">
        <v>2</v>
      </c>
      <c r="L71" t="s">
        <v>143</v>
      </c>
      <c r="M71" s="3">
        <v>200</v>
      </c>
      <c r="N71" t="s">
        <v>45</v>
      </c>
      <c r="O71" t="s">
        <v>16</v>
      </c>
      <c r="P71" t="s">
        <v>113</v>
      </c>
      <c r="Q71" t="s">
        <v>146</v>
      </c>
      <c r="R71" s="3">
        <v>400</v>
      </c>
      <c r="S71" s="4">
        <v>0</v>
      </c>
      <c r="T71" t="s">
        <v>145</v>
      </c>
      <c r="U71">
        <v>400</v>
      </c>
      <c r="V71">
        <v>1</v>
      </c>
      <c r="W71"/>
    </row>
    <row r="72" spans="1:23" x14ac:dyDescent="0.3">
      <c r="A72">
        <v>71</v>
      </c>
      <c r="B72" s="1">
        <v>45599</v>
      </c>
      <c r="C72" t="s">
        <v>162</v>
      </c>
      <c r="D72">
        <v>2024</v>
      </c>
      <c r="E72" t="s">
        <v>12</v>
      </c>
      <c r="F72" t="s">
        <v>7</v>
      </c>
      <c r="G72" t="s">
        <v>13</v>
      </c>
      <c r="H72" t="s">
        <v>62</v>
      </c>
      <c r="I72" t="s">
        <v>63</v>
      </c>
      <c r="J72" t="s">
        <v>64</v>
      </c>
      <c r="K72" s="2">
        <v>3</v>
      </c>
      <c r="L72" t="s">
        <v>143</v>
      </c>
      <c r="M72" s="3">
        <v>150</v>
      </c>
      <c r="N72" t="s">
        <v>51</v>
      </c>
      <c r="O72" t="s">
        <v>6</v>
      </c>
      <c r="P72" t="s">
        <v>113</v>
      </c>
      <c r="Q72" t="s">
        <v>144</v>
      </c>
      <c r="R72" s="3">
        <v>450</v>
      </c>
      <c r="S72" s="4">
        <v>22.5</v>
      </c>
      <c r="T72" t="s">
        <v>145</v>
      </c>
      <c r="U72">
        <v>427.5</v>
      </c>
      <c r="V72">
        <v>1</v>
      </c>
      <c r="W72"/>
    </row>
    <row r="73" spans="1:23" x14ac:dyDescent="0.3">
      <c r="A73">
        <v>72</v>
      </c>
      <c r="B73" s="1">
        <v>45629</v>
      </c>
      <c r="C73" t="s">
        <v>163</v>
      </c>
      <c r="D73">
        <v>2024</v>
      </c>
      <c r="E73" t="s">
        <v>15</v>
      </c>
      <c r="F73" t="s">
        <v>7</v>
      </c>
      <c r="G73" t="s">
        <v>16</v>
      </c>
      <c r="H73" t="s">
        <v>66</v>
      </c>
      <c r="I73" t="s">
        <v>59</v>
      </c>
      <c r="J73" t="s">
        <v>67</v>
      </c>
      <c r="K73" s="2">
        <v>1</v>
      </c>
      <c r="L73" t="s">
        <v>143</v>
      </c>
      <c r="M73" s="3">
        <v>20</v>
      </c>
      <c r="N73" t="s">
        <v>47</v>
      </c>
      <c r="O73" t="s">
        <v>10</v>
      </c>
      <c r="P73" t="s">
        <v>115</v>
      </c>
      <c r="Q73" t="s">
        <v>144</v>
      </c>
      <c r="R73" s="3">
        <v>20</v>
      </c>
      <c r="S73" s="4">
        <v>0</v>
      </c>
      <c r="T73" t="s">
        <v>145</v>
      </c>
      <c r="U73">
        <v>20</v>
      </c>
      <c r="V73">
        <v>1</v>
      </c>
      <c r="W73"/>
    </row>
    <row r="74" spans="1:23" x14ac:dyDescent="0.3">
      <c r="A74">
        <v>73</v>
      </c>
      <c r="B74" s="1">
        <v>45364</v>
      </c>
      <c r="C74" t="s">
        <v>158</v>
      </c>
      <c r="D74">
        <v>2024</v>
      </c>
      <c r="E74" t="s">
        <v>5</v>
      </c>
      <c r="F74" t="s">
        <v>7</v>
      </c>
      <c r="G74" t="s">
        <v>6</v>
      </c>
      <c r="H74" t="s">
        <v>69</v>
      </c>
      <c r="I74" t="s">
        <v>59</v>
      </c>
      <c r="J74" t="s">
        <v>67</v>
      </c>
      <c r="K74" s="2">
        <v>2</v>
      </c>
      <c r="L74" t="s">
        <v>143</v>
      </c>
      <c r="M74" s="3">
        <v>50</v>
      </c>
      <c r="N74" t="s">
        <v>49</v>
      </c>
      <c r="O74" t="s">
        <v>13</v>
      </c>
      <c r="P74" t="s">
        <v>117</v>
      </c>
      <c r="Q74" t="s">
        <v>146</v>
      </c>
      <c r="R74" s="3">
        <v>100</v>
      </c>
      <c r="S74" s="4">
        <v>4</v>
      </c>
      <c r="T74" t="s">
        <v>145</v>
      </c>
      <c r="U74">
        <v>96</v>
      </c>
      <c r="V74">
        <v>1</v>
      </c>
      <c r="W74"/>
    </row>
    <row r="75" spans="1:23" x14ac:dyDescent="0.3">
      <c r="A75">
        <v>74</v>
      </c>
      <c r="B75" s="1">
        <v>45365</v>
      </c>
      <c r="C75" t="s">
        <v>158</v>
      </c>
      <c r="D75">
        <v>2024</v>
      </c>
      <c r="E75" t="s">
        <v>9</v>
      </c>
      <c r="F75" t="s">
        <v>7</v>
      </c>
      <c r="G75" t="s">
        <v>10</v>
      </c>
      <c r="H75" t="s">
        <v>71</v>
      </c>
      <c r="I75" t="s">
        <v>63</v>
      </c>
      <c r="J75" t="s">
        <v>64</v>
      </c>
      <c r="K75" s="2">
        <v>4</v>
      </c>
      <c r="L75" t="s">
        <v>143</v>
      </c>
      <c r="M75" s="3">
        <v>300</v>
      </c>
      <c r="N75" t="s">
        <v>51</v>
      </c>
      <c r="O75" t="s">
        <v>6</v>
      </c>
      <c r="P75" t="s">
        <v>113</v>
      </c>
      <c r="Q75" t="s">
        <v>144</v>
      </c>
      <c r="R75" s="3">
        <v>1200</v>
      </c>
      <c r="S75" s="4">
        <v>60</v>
      </c>
      <c r="T75" t="s">
        <v>149</v>
      </c>
      <c r="U75">
        <v>1140</v>
      </c>
      <c r="V75">
        <v>1</v>
      </c>
      <c r="W75"/>
    </row>
    <row r="76" spans="1:23" x14ac:dyDescent="0.3">
      <c r="A76">
        <v>75</v>
      </c>
      <c r="B76" s="1">
        <v>45366</v>
      </c>
      <c r="C76" t="s">
        <v>158</v>
      </c>
      <c r="D76">
        <v>2024</v>
      </c>
      <c r="E76" t="s">
        <v>12</v>
      </c>
      <c r="F76" t="s">
        <v>7</v>
      </c>
      <c r="G76" t="s">
        <v>13</v>
      </c>
      <c r="H76" t="s">
        <v>58</v>
      </c>
      <c r="I76" t="s">
        <v>59</v>
      </c>
      <c r="J76" t="s">
        <v>60</v>
      </c>
      <c r="K76" s="2"/>
      <c r="L76" t="s">
        <v>147</v>
      </c>
      <c r="M76" s="3">
        <v>800</v>
      </c>
      <c r="N76" t="s">
        <v>45</v>
      </c>
      <c r="O76" t="s">
        <v>10</v>
      </c>
      <c r="P76" t="s">
        <v>113</v>
      </c>
      <c r="Q76" t="s">
        <v>148</v>
      </c>
      <c r="R76" s="3"/>
      <c r="S76" s="4"/>
      <c r="V76">
        <v>1</v>
      </c>
      <c r="W76"/>
    </row>
    <row r="77" spans="1:23" x14ac:dyDescent="0.3">
      <c r="A77">
        <v>76</v>
      </c>
      <c r="B77" s="1">
        <v>45367</v>
      </c>
      <c r="C77" t="s">
        <v>158</v>
      </c>
      <c r="D77">
        <v>2024</v>
      </c>
      <c r="E77" t="s">
        <v>15</v>
      </c>
      <c r="F77" t="s">
        <v>7</v>
      </c>
      <c r="G77" t="s">
        <v>16</v>
      </c>
      <c r="H77" t="s">
        <v>62</v>
      </c>
      <c r="I77" t="s">
        <v>63</v>
      </c>
      <c r="J77" t="s">
        <v>64</v>
      </c>
      <c r="K77" s="2">
        <v>2</v>
      </c>
      <c r="L77" t="s">
        <v>143</v>
      </c>
      <c r="M77" s="3">
        <v>150</v>
      </c>
      <c r="N77" t="s">
        <v>51</v>
      </c>
      <c r="O77" t="s">
        <v>6</v>
      </c>
      <c r="P77" t="s">
        <v>113</v>
      </c>
      <c r="Q77" t="s">
        <v>144</v>
      </c>
      <c r="R77" s="3">
        <v>300</v>
      </c>
      <c r="S77" s="4">
        <v>15</v>
      </c>
      <c r="T77" t="s">
        <v>145</v>
      </c>
      <c r="U77">
        <v>285</v>
      </c>
      <c r="V77">
        <v>1</v>
      </c>
      <c r="W77"/>
    </row>
    <row r="78" spans="1:23" x14ac:dyDescent="0.3">
      <c r="A78">
        <v>77</v>
      </c>
      <c r="B78" s="1">
        <v>45368</v>
      </c>
      <c r="C78" t="s">
        <v>158</v>
      </c>
      <c r="D78">
        <v>2024</v>
      </c>
      <c r="E78" t="s">
        <v>5</v>
      </c>
      <c r="F78" t="s">
        <v>7</v>
      </c>
      <c r="G78" t="s">
        <v>6</v>
      </c>
      <c r="H78" t="s">
        <v>66</v>
      </c>
      <c r="I78" t="s">
        <v>59</v>
      </c>
      <c r="J78" t="s">
        <v>67</v>
      </c>
      <c r="K78" s="2">
        <v>5</v>
      </c>
      <c r="L78" t="s">
        <v>143</v>
      </c>
      <c r="M78" s="3">
        <v>20</v>
      </c>
      <c r="N78" t="s">
        <v>47</v>
      </c>
      <c r="O78" t="s">
        <v>16</v>
      </c>
      <c r="P78" t="s">
        <v>115</v>
      </c>
      <c r="Q78" t="s">
        <v>146</v>
      </c>
      <c r="R78" s="3">
        <v>100</v>
      </c>
      <c r="S78" s="4">
        <v>6</v>
      </c>
      <c r="T78" t="s">
        <v>145</v>
      </c>
      <c r="U78">
        <v>94</v>
      </c>
      <c r="V78">
        <v>1</v>
      </c>
      <c r="W78"/>
    </row>
    <row r="79" spans="1:23" x14ac:dyDescent="0.3">
      <c r="A79">
        <v>78</v>
      </c>
      <c r="B79" s="1">
        <v>45369</v>
      </c>
      <c r="C79" t="s">
        <v>158</v>
      </c>
      <c r="D79">
        <v>2024</v>
      </c>
      <c r="E79" t="s">
        <v>9</v>
      </c>
      <c r="F79" t="s">
        <v>7</v>
      </c>
      <c r="G79" t="s">
        <v>10</v>
      </c>
      <c r="H79" t="s">
        <v>69</v>
      </c>
      <c r="I79" t="s">
        <v>59</v>
      </c>
      <c r="J79" t="s">
        <v>67</v>
      </c>
      <c r="K79" s="2">
        <v>1</v>
      </c>
      <c r="L79" t="s">
        <v>143</v>
      </c>
      <c r="M79" s="3">
        <v>50</v>
      </c>
      <c r="N79" t="s">
        <v>49</v>
      </c>
      <c r="O79" t="s">
        <v>6</v>
      </c>
      <c r="P79" t="s">
        <v>117</v>
      </c>
      <c r="Q79" t="s">
        <v>144</v>
      </c>
      <c r="R79" s="3">
        <v>50</v>
      </c>
      <c r="S79" s="4">
        <v>0</v>
      </c>
      <c r="T79" t="s">
        <v>145</v>
      </c>
      <c r="U79">
        <v>50</v>
      </c>
      <c r="V79">
        <v>1</v>
      </c>
      <c r="W79"/>
    </row>
    <row r="80" spans="1:23" x14ac:dyDescent="0.3">
      <c r="A80">
        <v>79</v>
      </c>
      <c r="B80" s="1">
        <v>45370</v>
      </c>
      <c r="C80" t="s">
        <v>158</v>
      </c>
      <c r="D80">
        <v>2024</v>
      </c>
      <c r="E80" t="s">
        <v>12</v>
      </c>
      <c r="F80" t="s">
        <v>7</v>
      </c>
      <c r="G80" t="s">
        <v>13</v>
      </c>
      <c r="H80" t="s">
        <v>71</v>
      </c>
      <c r="I80" t="s">
        <v>63</v>
      </c>
      <c r="J80" t="s">
        <v>64</v>
      </c>
      <c r="K80" s="2">
        <v>3</v>
      </c>
      <c r="L80" t="s">
        <v>143</v>
      </c>
      <c r="M80" s="3">
        <v>300</v>
      </c>
      <c r="N80" t="s">
        <v>51</v>
      </c>
      <c r="O80" t="s">
        <v>10</v>
      </c>
      <c r="P80" t="s">
        <v>113</v>
      </c>
      <c r="Q80" t="s">
        <v>146</v>
      </c>
      <c r="R80" s="3">
        <v>900</v>
      </c>
      <c r="S80" s="4">
        <v>63</v>
      </c>
      <c r="T80" t="s">
        <v>145</v>
      </c>
      <c r="U80">
        <v>837</v>
      </c>
      <c r="V80">
        <v>1</v>
      </c>
      <c r="W80"/>
    </row>
    <row r="81" spans="1:23" x14ac:dyDescent="0.3">
      <c r="A81">
        <v>80</v>
      </c>
      <c r="B81" s="1">
        <v>45371</v>
      </c>
      <c r="C81" t="s">
        <v>158</v>
      </c>
      <c r="D81">
        <v>2024</v>
      </c>
      <c r="E81" t="s">
        <v>15</v>
      </c>
      <c r="F81" t="s">
        <v>7</v>
      </c>
      <c r="G81" t="s">
        <v>16</v>
      </c>
      <c r="H81" t="s">
        <v>58</v>
      </c>
      <c r="I81" t="s">
        <v>59</v>
      </c>
      <c r="J81" t="s">
        <v>60</v>
      </c>
      <c r="K81" s="2">
        <v>2</v>
      </c>
      <c r="L81" t="s">
        <v>143</v>
      </c>
      <c r="M81" s="3">
        <v>800</v>
      </c>
      <c r="N81" t="s">
        <v>45</v>
      </c>
      <c r="O81" t="s">
        <v>13</v>
      </c>
      <c r="P81" t="s">
        <v>113</v>
      </c>
      <c r="Q81" t="s">
        <v>144</v>
      </c>
      <c r="R81" s="3">
        <v>1600</v>
      </c>
      <c r="S81" s="4">
        <v>64</v>
      </c>
      <c r="T81" t="s">
        <v>149</v>
      </c>
      <c r="U81">
        <v>1536</v>
      </c>
      <c r="V81">
        <v>1</v>
      </c>
      <c r="W81"/>
    </row>
    <row r="82" spans="1:23" x14ac:dyDescent="0.3">
      <c r="A82">
        <v>81</v>
      </c>
      <c r="B82" s="1">
        <v>45372</v>
      </c>
      <c r="C82" t="s">
        <v>158</v>
      </c>
      <c r="D82">
        <v>2024</v>
      </c>
      <c r="E82" t="s">
        <v>5</v>
      </c>
      <c r="F82" t="s">
        <v>7</v>
      </c>
      <c r="G82" t="s">
        <v>6</v>
      </c>
      <c r="H82" t="s">
        <v>62</v>
      </c>
      <c r="I82" t="s">
        <v>63</v>
      </c>
      <c r="J82" t="s">
        <v>64</v>
      </c>
      <c r="K82" s="2">
        <v>4</v>
      </c>
      <c r="L82" t="s">
        <v>143</v>
      </c>
      <c r="M82" s="3">
        <v>150</v>
      </c>
      <c r="N82" t="s">
        <v>51</v>
      </c>
      <c r="O82" t="s">
        <v>6</v>
      </c>
      <c r="P82" t="s">
        <v>113</v>
      </c>
      <c r="Q82" t="s">
        <v>144</v>
      </c>
      <c r="R82" s="3">
        <v>600</v>
      </c>
      <c r="S82" s="4">
        <v>30</v>
      </c>
      <c r="T82" t="s">
        <v>145</v>
      </c>
      <c r="U82">
        <v>570</v>
      </c>
      <c r="V82">
        <v>1</v>
      </c>
      <c r="W82"/>
    </row>
    <row r="83" spans="1:23" x14ac:dyDescent="0.3">
      <c r="A83">
        <v>82</v>
      </c>
      <c r="B83" s="1">
        <v>45373</v>
      </c>
      <c r="C83" t="s">
        <v>158</v>
      </c>
      <c r="D83">
        <v>2024</v>
      </c>
      <c r="E83" t="s">
        <v>9</v>
      </c>
      <c r="F83" t="s">
        <v>7</v>
      </c>
      <c r="G83" t="s">
        <v>10</v>
      </c>
      <c r="H83" t="s">
        <v>66</v>
      </c>
      <c r="I83" t="s">
        <v>59</v>
      </c>
      <c r="J83" t="s">
        <v>67</v>
      </c>
      <c r="K83" s="2">
        <v>1</v>
      </c>
      <c r="L83" t="s">
        <v>143</v>
      </c>
      <c r="M83" s="3">
        <v>20</v>
      </c>
      <c r="N83" t="s">
        <v>47</v>
      </c>
      <c r="O83" t="s">
        <v>10</v>
      </c>
      <c r="P83" t="s">
        <v>115</v>
      </c>
      <c r="Q83" t="s">
        <v>148</v>
      </c>
      <c r="R83" s="3">
        <v>20</v>
      </c>
      <c r="S83" s="4">
        <v>0</v>
      </c>
      <c r="T83" t="s">
        <v>145</v>
      </c>
      <c r="U83">
        <v>20</v>
      </c>
      <c r="V83">
        <v>1</v>
      </c>
      <c r="W83"/>
    </row>
    <row r="84" spans="1:23" x14ac:dyDescent="0.3">
      <c r="A84">
        <v>83</v>
      </c>
      <c r="B84" s="1">
        <v>45374</v>
      </c>
      <c r="C84" t="s">
        <v>158</v>
      </c>
      <c r="D84">
        <v>2024</v>
      </c>
      <c r="E84" t="s">
        <v>12</v>
      </c>
      <c r="F84" t="s">
        <v>7</v>
      </c>
      <c r="G84" t="s">
        <v>13</v>
      </c>
      <c r="H84" t="s">
        <v>69</v>
      </c>
      <c r="I84" t="s">
        <v>59</v>
      </c>
      <c r="J84" t="s">
        <v>67</v>
      </c>
      <c r="K84" s="2">
        <v>2</v>
      </c>
      <c r="L84" t="s">
        <v>143</v>
      </c>
      <c r="M84" s="3">
        <v>50</v>
      </c>
      <c r="N84" t="s">
        <v>49</v>
      </c>
      <c r="O84" t="s">
        <v>6</v>
      </c>
      <c r="P84" t="s">
        <v>117</v>
      </c>
      <c r="Q84" t="s">
        <v>146</v>
      </c>
      <c r="R84" s="3">
        <v>100</v>
      </c>
      <c r="S84" s="4">
        <v>5</v>
      </c>
      <c r="T84" t="s">
        <v>145</v>
      </c>
      <c r="U84">
        <v>95</v>
      </c>
      <c r="V84">
        <v>1</v>
      </c>
      <c r="W84"/>
    </row>
    <row r="85" spans="1:23" x14ac:dyDescent="0.3">
      <c r="A85">
        <v>84</v>
      </c>
      <c r="B85" s="1">
        <v>45375</v>
      </c>
      <c r="C85" t="s">
        <v>158</v>
      </c>
      <c r="D85">
        <v>2024</v>
      </c>
      <c r="E85" t="s">
        <v>15</v>
      </c>
      <c r="F85" t="s">
        <v>7</v>
      </c>
      <c r="G85" t="s">
        <v>16</v>
      </c>
      <c r="H85" t="s">
        <v>71</v>
      </c>
      <c r="I85" t="s">
        <v>63</v>
      </c>
      <c r="J85" t="s">
        <v>64</v>
      </c>
      <c r="K85" s="2">
        <v>5</v>
      </c>
      <c r="L85" t="s">
        <v>143</v>
      </c>
      <c r="M85" s="3">
        <v>300</v>
      </c>
      <c r="N85" t="s">
        <v>51</v>
      </c>
      <c r="O85" t="s">
        <v>16</v>
      </c>
      <c r="P85" t="s">
        <v>113</v>
      </c>
      <c r="Q85" t="s">
        <v>144</v>
      </c>
      <c r="R85" s="3">
        <v>1500</v>
      </c>
      <c r="S85" s="4">
        <v>90</v>
      </c>
      <c r="T85" t="s">
        <v>149</v>
      </c>
      <c r="U85">
        <v>1410</v>
      </c>
      <c r="V85">
        <v>1</v>
      </c>
      <c r="W85"/>
    </row>
    <row r="86" spans="1:23" x14ac:dyDescent="0.3">
      <c r="A86">
        <v>85</v>
      </c>
      <c r="B86" s="1">
        <v>45376</v>
      </c>
      <c r="C86" t="s">
        <v>158</v>
      </c>
      <c r="D86">
        <v>2024</v>
      </c>
      <c r="E86" t="s">
        <v>5</v>
      </c>
      <c r="F86" t="s">
        <v>7</v>
      </c>
      <c r="G86" t="s">
        <v>6</v>
      </c>
      <c r="H86" t="s">
        <v>58</v>
      </c>
      <c r="I86" t="s">
        <v>59</v>
      </c>
      <c r="J86" t="s">
        <v>60</v>
      </c>
      <c r="K86" s="2">
        <v>3</v>
      </c>
      <c r="L86" t="s">
        <v>143</v>
      </c>
      <c r="M86" s="3">
        <v>800</v>
      </c>
      <c r="N86" t="s">
        <v>45</v>
      </c>
      <c r="O86" t="s">
        <v>6</v>
      </c>
      <c r="P86" t="s">
        <v>113</v>
      </c>
      <c r="Q86" t="s">
        <v>144</v>
      </c>
      <c r="R86" s="3">
        <v>2400</v>
      </c>
      <c r="S86" s="4">
        <v>120</v>
      </c>
      <c r="T86" t="s">
        <v>150</v>
      </c>
      <c r="U86">
        <v>2280</v>
      </c>
      <c r="V86">
        <v>1</v>
      </c>
      <c r="W86"/>
    </row>
    <row r="87" spans="1:23" x14ac:dyDescent="0.3">
      <c r="A87">
        <v>86</v>
      </c>
      <c r="B87" s="1">
        <v>45377</v>
      </c>
      <c r="C87" t="s">
        <v>158</v>
      </c>
      <c r="D87">
        <v>2024</v>
      </c>
      <c r="E87" t="s">
        <v>9</v>
      </c>
      <c r="F87" t="s">
        <v>7</v>
      </c>
      <c r="G87" t="s">
        <v>10</v>
      </c>
      <c r="H87" t="s">
        <v>62</v>
      </c>
      <c r="I87" t="s">
        <v>63</v>
      </c>
      <c r="J87" t="s">
        <v>64</v>
      </c>
      <c r="K87" s="2"/>
      <c r="L87" t="s">
        <v>147</v>
      </c>
      <c r="M87" s="3">
        <v>150</v>
      </c>
      <c r="N87" t="s">
        <v>51</v>
      </c>
      <c r="O87" t="s">
        <v>10</v>
      </c>
      <c r="P87" t="s">
        <v>113</v>
      </c>
      <c r="Q87" t="s">
        <v>146</v>
      </c>
      <c r="R87" s="3"/>
      <c r="S87" s="4"/>
      <c r="V87">
        <v>1</v>
      </c>
      <c r="W87"/>
    </row>
    <row r="88" spans="1:23" x14ac:dyDescent="0.3">
      <c r="A88">
        <v>87</v>
      </c>
      <c r="B88" s="1">
        <v>45378</v>
      </c>
      <c r="C88" t="s">
        <v>158</v>
      </c>
      <c r="D88">
        <v>2024</v>
      </c>
      <c r="E88" t="s">
        <v>12</v>
      </c>
      <c r="F88" t="s">
        <v>7</v>
      </c>
      <c r="G88" t="s">
        <v>13</v>
      </c>
      <c r="H88" t="s">
        <v>66</v>
      </c>
      <c r="I88" t="s">
        <v>59</v>
      </c>
      <c r="J88" t="s">
        <v>67</v>
      </c>
      <c r="K88" s="2">
        <v>2</v>
      </c>
      <c r="L88" t="s">
        <v>143</v>
      </c>
      <c r="M88" s="3">
        <v>20</v>
      </c>
      <c r="N88" t="s">
        <v>47</v>
      </c>
      <c r="O88" t="s">
        <v>13</v>
      </c>
      <c r="P88" t="s">
        <v>115</v>
      </c>
      <c r="Q88" t="s">
        <v>144</v>
      </c>
      <c r="R88" s="3">
        <v>40</v>
      </c>
      <c r="S88" s="4">
        <v>1.6</v>
      </c>
      <c r="T88" t="s">
        <v>145</v>
      </c>
      <c r="U88">
        <v>38.4</v>
      </c>
      <c r="V88">
        <v>1</v>
      </c>
      <c r="W88"/>
    </row>
    <row r="89" spans="1:23" x14ac:dyDescent="0.3">
      <c r="A89">
        <v>88</v>
      </c>
      <c r="B89" s="1">
        <v>45379</v>
      </c>
      <c r="C89" t="s">
        <v>158</v>
      </c>
      <c r="D89">
        <v>2024</v>
      </c>
      <c r="E89" t="s">
        <v>15</v>
      </c>
      <c r="F89" t="s">
        <v>7</v>
      </c>
      <c r="G89" t="s">
        <v>16</v>
      </c>
      <c r="H89" t="s">
        <v>69</v>
      </c>
      <c r="I89" t="s">
        <v>59</v>
      </c>
      <c r="J89" t="s">
        <v>67</v>
      </c>
      <c r="K89" s="2">
        <v>1</v>
      </c>
      <c r="L89" t="s">
        <v>143</v>
      </c>
      <c r="M89" s="3">
        <v>50</v>
      </c>
      <c r="N89" t="s">
        <v>49</v>
      </c>
      <c r="O89" t="s">
        <v>6</v>
      </c>
      <c r="P89" t="s">
        <v>117</v>
      </c>
      <c r="Q89" t="s">
        <v>144</v>
      </c>
      <c r="R89" s="3">
        <v>50</v>
      </c>
      <c r="S89" s="4">
        <v>0</v>
      </c>
      <c r="T89" t="s">
        <v>145</v>
      </c>
      <c r="U89">
        <v>50</v>
      </c>
      <c r="V89">
        <v>1</v>
      </c>
      <c r="W89"/>
    </row>
    <row r="90" spans="1:23" x14ac:dyDescent="0.3">
      <c r="A90">
        <v>89</v>
      </c>
      <c r="B90" s="1">
        <v>45380</v>
      </c>
      <c r="C90" t="s">
        <v>158</v>
      </c>
      <c r="D90">
        <v>2024</v>
      </c>
      <c r="E90" t="s">
        <v>5</v>
      </c>
      <c r="F90" t="s">
        <v>7</v>
      </c>
      <c r="G90" t="s">
        <v>6</v>
      </c>
      <c r="H90" t="s">
        <v>71</v>
      </c>
      <c r="I90" t="s">
        <v>63</v>
      </c>
      <c r="J90" t="s">
        <v>64</v>
      </c>
      <c r="K90" s="2">
        <v>4</v>
      </c>
      <c r="L90" t="s">
        <v>143</v>
      </c>
      <c r="M90" s="3">
        <v>300</v>
      </c>
      <c r="N90" t="s">
        <v>51</v>
      </c>
      <c r="O90" t="s">
        <v>10</v>
      </c>
      <c r="P90" t="s">
        <v>113</v>
      </c>
      <c r="Q90" t="s">
        <v>146</v>
      </c>
      <c r="R90" s="3">
        <v>1200</v>
      </c>
      <c r="S90" s="4">
        <v>84</v>
      </c>
      <c r="T90" t="s">
        <v>149</v>
      </c>
      <c r="U90">
        <v>1116</v>
      </c>
      <c r="V90">
        <v>1</v>
      </c>
      <c r="W90"/>
    </row>
    <row r="91" spans="1:23" x14ac:dyDescent="0.3">
      <c r="A91">
        <v>90</v>
      </c>
      <c r="B91" s="1">
        <v>45381</v>
      </c>
      <c r="C91" t="s">
        <v>158</v>
      </c>
      <c r="D91">
        <v>2024</v>
      </c>
      <c r="E91" t="s">
        <v>9</v>
      </c>
      <c r="F91" t="s">
        <v>7</v>
      </c>
      <c r="G91" t="s">
        <v>10</v>
      </c>
      <c r="H91" t="s">
        <v>58</v>
      </c>
      <c r="I91" t="s">
        <v>59</v>
      </c>
      <c r="J91" t="s">
        <v>60</v>
      </c>
      <c r="K91" s="2">
        <v>2</v>
      </c>
      <c r="L91" t="s">
        <v>143</v>
      </c>
      <c r="M91" s="3">
        <v>800</v>
      </c>
      <c r="N91" t="s">
        <v>45</v>
      </c>
      <c r="O91" t="s">
        <v>6</v>
      </c>
      <c r="P91" t="s">
        <v>113</v>
      </c>
      <c r="Q91" t="s">
        <v>144</v>
      </c>
      <c r="R91" s="3">
        <v>1600</v>
      </c>
      <c r="S91" s="4">
        <v>80</v>
      </c>
      <c r="T91" t="s">
        <v>149</v>
      </c>
      <c r="U91">
        <v>1520</v>
      </c>
      <c r="V91">
        <v>1</v>
      </c>
      <c r="W91"/>
    </row>
    <row r="92" spans="1:23" x14ac:dyDescent="0.3">
      <c r="A92">
        <v>91</v>
      </c>
      <c r="B92" s="1">
        <v>45382</v>
      </c>
      <c r="C92" t="s">
        <v>158</v>
      </c>
      <c r="D92">
        <v>2024</v>
      </c>
      <c r="E92" t="s">
        <v>12</v>
      </c>
      <c r="F92" t="s">
        <v>7</v>
      </c>
      <c r="G92" t="s">
        <v>13</v>
      </c>
      <c r="H92" t="s">
        <v>73</v>
      </c>
      <c r="I92" t="s">
        <v>59</v>
      </c>
      <c r="J92" t="s">
        <v>74</v>
      </c>
      <c r="K92" s="2">
        <v>5</v>
      </c>
      <c r="L92" t="s">
        <v>143</v>
      </c>
      <c r="M92" s="3">
        <v>200</v>
      </c>
      <c r="N92" t="s">
        <v>51</v>
      </c>
      <c r="O92" t="s">
        <v>6</v>
      </c>
      <c r="P92" t="s">
        <v>113</v>
      </c>
      <c r="Q92" t="s">
        <v>148</v>
      </c>
      <c r="R92" s="3">
        <v>1000</v>
      </c>
      <c r="S92" s="4">
        <v>50</v>
      </c>
      <c r="T92" t="s">
        <v>149</v>
      </c>
      <c r="U92">
        <v>950</v>
      </c>
      <c r="V92">
        <v>1</v>
      </c>
      <c r="W92"/>
    </row>
    <row r="93" spans="1:23" x14ac:dyDescent="0.3">
      <c r="A93">
        <v>92</v>
      </c>
      <c r="B93" s="1">
        <v>45295</v>
      </c>
      <c r="C93" t="s">
        <v>153</v>
      </c>
      <c r="D93">
        <v>2024</v>
      </c>
      <c r="E93" t="s">
        <v>15</v>
      </c>
      <c r="F93" t="s">
        <v>7</v>
      </c>
      <c r="G93" t="s">
        <v>16</v>
      </c>
      <c r="H93" t="s">
        <v>62</v>
      </c>
      <c r="I93" t="s">
        <v>63</v>
      </c>
      <c r="J93" t="s">
        <v>64</v>
      </c>
      <c r="K93" s="2">
        <v>3</v>
      </c>
      <c r="L93" t="s">
        <v>143</v>
      </c>
      <c r="M93" s="3">
        <v>150</v>
      </c>
      <c r="N93" t="s">
        <v>47</v>
      </c>
      <c r="O93" t="s">
        <v>10</v>
      </c>
      <c r="P93" t="s">
        <v>115</v>
      </c>
      <c r="Q93" t="s">
        <v>144</v>
      </c>
      <c r="R93" s="3">
        <v>450</v>
      </c>
      <c r="S93" s="4">
        <v>31.5</v>
      </c>
      <c r="T93" t="s">
        <v>145</v>
      </c>
      <c r="U93">
        <v>418.5</v>
      </c>
      <c r="V93">
        <v>1</v>
      </c>
      <c r="W93"/>
    </row>
    <row r="94" spans="1:23" x14ac:dyDescent="0.3">
      <c r="A94">
        <v>93</v>
      </c>
      <c r="B94" s="1">
        <v>45326</v>
      </c>
      <c r="C94" t="s">
        <v>157</v>
      </c>
      <c r="D94">
        <v>2024</v>
      </c>
      <c r="E94" t="s">
        <v>5</v>
      </c>
      <c r="F94" t="s">
        <v>7</v>
      </c>
      <c r="G94" t="s">
        <v>6</v>
      </c>
      <c r="H94" t="s">
        <v>66</v>
      </c>
      <c r="I94" t="s">
        <v>59</v>
      </c>
      <c r="J94" t="s">
        <v>67</v>
      </c>
      <c r="K94" s="2">
        <v>1</v>
      </c>
      <c r="L94" t="s">
        <v>143</v>
      </c>
      <c r="M94" s="3">
        <v>20</v>
      </c>
      <c r="N94" t="s">
        <v>49</v>
      </c>
      <c r="O94" t="s">
        <v>13</v>
      </c>
      <c r="P94" t="s">
        <v>117</v>
      </c>
      <c r="Q94" t="s">
        <v>146</v>
      </c>
      <c r="R94" s="3">
        <v>20</v>
      </c>
      <c r="S94" s="4">
        <v>0</v>
      </c>
      <c r="T94" t="s">
        <v>145</v>
      </c>
      <c r="U94">
        <v>20</v>
      </c>
      <c r="V94">
        <v>1</v>
      </c>
      <c r="W94"/>
    </row>
    <row r="95" spans="1:23" x14ac:dyDescent="0.3">
      <c r="A95">
        <v>94</v>
      </c>
      <c r="B95" s="1">
        <v>45355</v>
      </c>
      <c r="C95" t="s">
        <v>158</v>
      </c>
      <c r="D95">
        <v>2024</v>
      </c>
      <c r="E95" t="s">
        <v>9</v>
      </c>
      <c r="F95" t="s">
        <v>7</v>
      </c>
      <c r="G95" t="s">
        <v>10</v>
      </c>
      <c r="H95" t="s">
        <v>69</v>
      </c>
      <c r="I95" t="s">
        <v>59</v>
      </c>
      <c r="J95" t="s">
        <v>67</v>
      </c>
      <c r="K95" s="2">
        <v>2</v>
      </c>
      <c r="L95" t="s">
        <v>143</v>
      </c>
      <c r="M95" s="3">
        <v>50</v>
      </c>
      <c r="N95" t="s">
        <v>51</v>
      </c>
      <c r="O95" t="s">
        <v>6</v>
      </c>
      <c r="P95" t="s">
        <v>113</v>
      </c>
      <c r="Q95" t="s">
        <v>144</v>
      </c>
      <c r="R95" s="3">
        <v>100</v>
      </c>
      <c r="S95" s="4">
        <v>5</v>
      </c>
      <c r="T95" t="s">
        <v>145</v>
      </c>
      <c r="U95">
        <v>95</v>
      </c>
      <c r="V95">
        <v>1</v>
      </c>
      <c r="W95"/>
    </row>
    <row r="96" spans="1:23" x14ac:dyDescent="0.3">
      <c r="A96">
        <v>95</v>
      </c>
      <c r="B96" s="1">
        <v>45386</v>
      </c>
      <c r="C96" t="s">
        <v>156</v>
      </c>
      <c r="D96">
        <v>2024</v>
      </c>
      <c r="E96" t="s">
        <v>12</v>
      </c>
      <c r="F96" t="s">
        <v>7</v>
      </c>
      <c r="G96" t="s">
        <v>13</v>
      </c>
      <c r="H96" t="s">
        <v>71</v>
      </c>
      <c r="I96" t="s">
        <v>63</v>
      </c>
      <c r="J96" t="s">
        <v>64</v>
      </c>
      <c r="K96" s="2"/>
      <c r="L96" t="s">
        <v>147</v>
      </c>
      <c r="M96" s="3">
        <v>300</v>
      </c>
      <c r="N96" t="s">
        <v>45</v>
      </c>
      <c r="O96" t="s">
        <v>16</v>
      </c>
      <c r="P96" t="s">
        <v>113</v>
      </c>
      <c r="Q96" t="s">
        <v>144</v>
      </c>
      <c r="R96" s="3"/>
      <c r="S96" s="4"/>
      <c r="V96">
        <v>1</v>
      </c>
      <c r="W96"/>
    </row>
    <row r="97" spans="1:23" x14ac:dyDescent="0.3">
      <c r="A97">
        <v>96</v>
      </c>
      <c r="B97" s="1">
        <v>45416</v>
      </c>
      <c r="C97" t="s">
        <v>159</v>
      </c>
      <c r="D97">
        <v>2024</v>
      </c>
      <c r="E97" t="s">
        <v>15</v>
      </c>
      <c r="F97" t="s">
        <v>7</v>
      </c>
      <c r="G97" t="s">
        <v>16</v>
      </c>
      <c r="H97" t="s">
        <v>58</v>
      </c>
      <c r="I97" t="s">
        <v>59</v>
      </c>
      <c r="J97" t="s">
        <v>60</v>
      </c>
      <c r="K97" s="2">
        <v>4</v>
      </c>
      <c r="L97" t="s">
        <v>143</v>
      </c>
      <c r="M97" s="3">
        <v>800</v>
      </c>
      <c r="N97" t="s">
        <v>51</v>
      </c>
      <c r="O97" t="s">
        <v>6</v>
      </c>
      <c r="P97" t="s">
        <v>113</v>
      </c>
      <c r="Q97" t="s">
        <v>146</v>
      </c>
      <c r="R97" s="3">
        <v>3200</v>
      </c>
      <c r="S97" s="4">
        <v>160</v>
      </c>
      <c r="T97" t="s">
        <v>150</v>
      </c>
      <c r="U97">
        <v>3040</v>
      </c>
      <c r="V97">
        <v>1</v>
      </c>
      <c r="W97"/>
    </row>
    <row r="98" spans="1:23" x14ac:dyDescent="0.3">
      <c r="A98">
        <v>97</v>
      </c>
      <c r="B98" s="1">
        <v>45447</v>
      </c>
      <c r="C98" t="s">
        <v>164</v>
      </c>
      <c r="D98">
        <v>2024</v>
      </c>
      <c r="E98" t="s">
        <v>5</v>
      </c>
      <c r="F98" t="s">
        <v>7</v>
      </c>
      <c r="G98" t="s">
        <v>6</v>
      </c>
      <c r="H98" t="s">
        <v>62</v>
      </c>
      <c r="I98" t="s">
        <v>63</v>
      </c>
      <c r="J98" t="s">
        <v>64</v>
      </c>
      <c r="K98" s="2">
        <v>2</v>
      </c>
      <c r="L98" t="s">
        <v>143</v>
      </c>
      <c r="M98" s="3">
        <v>150</v>
      </c>
      <c r="N98" t="s">
        <v>47</v>
      </c>
      <c r="O98" t="s">
        <v>10</v>
      </c>
      <c r="P98" t="s">
        <v>115</v>
      </c>
      <c r="Q98" t="s">
        <v>144</v>
      </c>
      <c r="R98" s="3">
        <v>300</v>
      </c>
      <c r="S98" s="4">
        <v>0</v>
      </c>
      <c r="T98" t="s">
        <v>145</v>
      </c>
      <c r="U98">
        <v>300</v>
      </c>
      <c r="V98">
        <v>1</v>
      </c>
      <c r="W98"/>
    </row>
    <row r="99" spans="1:23" x14ac:dyDescent="0.3">
      <c r="A99">
        <v>98</v>
      </c>
      <c r="B99" s="1">
        <v>45477</v>
      </c>
      <c r="C99" t="s">
        <v>160</v>
      </c>
      <c r="D99">
        <v>2024</v>
      </c>
      <c r="E99" t="s">
        <v>9</v>
      </c>
      <c r="F99" t="s">
        <v>7</v>
      </c>
      <c r="G99" t="s">
        <v>10</v>
      </c>
      <c r="H99" t="s">
        <v>66</v>
      </c>
      <c r="I99" t="s">
        <v>59</v>
      </c>
      <c r="J99" t="s">
        <v>67</v>
      </c>
      <c r="K99" s="2">
        <v>5</v>
      </c>
      <c r="L99" t="s">
        <v>143</v>
      </c>
      <c r="M99" s="3">
        <v>20</v>
      </c>
      <c r="N99" t="s">
        <v>49</v>
      </c>
      <c r="O99" t="s">
        <v>10</v>
      </c>
      <c r="P99" t="s">
        <v>117</v>
      </c>
      <c r="Q99" t="s">
        <v>148</v>
      </c>
      <c r="R99" s="3">
        <v>100</v>
      </c>
      <c r="S99" s="4">
        <v>7</v>
      </c>
      <c r="T99" t="s">
        <v>145</v>
      </c>
      <c r="U99">
        <v>93</v>
      </c>
      <c r="V99">
        <v>1</v>
      </c>
      <c r="W99"/>
    </row>
    <row r="100" spans="1:23" x14ac:dyDescent="0.3">
      <c r="A100">
        <v>99</v>
      </c>
      <c r="B100" s="1">
        <v>45508</v>
      </c>
      <c r="C100" t="s">
        <v>154</v>
      </c>
      <c r="D100">
        <v>2024</v>
      </c>
      <c r="E100" t="s">
        <v>12</v>
      </c>
      <c r="F100" t="s">
        <v>7</v>
      </c>
      <c r="G100" t="s">
        <v>13</v>
      </c>
      <c r="H100" t="s">
        <v>69</v>
      </c>
      <c r="I100" t="s">
        <v>59</v>
      </c>
      <c r="J100" t="s">
        <v>67</v>
      </c>
      <c r="K100" s="2">
        <v>1</v>
      </c>
      <c r="L100" t="s">
        <v>143</v>
      </c>
      <c r="M100" s="3">
        <v>50</v>
      </c>
      <c r="N100" t="s">
        <v>51</v>
      </c>
      <c r="O100" t="s">
        <v>13</v>
      </c>
      <c r="P100" t="s">
        <v>113</v>
      </c>
      <c r="Q100" t="s">
        <v>144</v>
      </c>
      <c r="R100" s="3">
        <v>50</v>
      </c>
      <c r="S100" s="4">
        <v>0</v>
      </c>
      <c r="T100" t="s">
        <v>145</v>
      </c>
      <c r="U100">
        <v>50</v>
      </c>
      <c r="V100">
        <v>1</v>
      </c>
      <c r="W100"/>
    </row>
    <row r="101" spans="1:23" x14ac:dyDescent="0.3">
      <c r="A101">
        <v>100</v>
      </c>
      <c r="B101" s="1">
        <v>45539</v>
      </c>
      <c r="C101" t="s">
        <v>161</v>
      </c>
      <c r="D101">
        <v>2024</v>
      </c>
      <c r="E101" t="s">
        <v>15</v>
      </c>
      <c r="F101" t="s">
        <v>7</v>
      </c>
      <c r="G101" t="s">
        <v>16</v>
      </c>
      <c r="H101" t="s">
        <v>71</v>
      </c>
      <c r="I101" t="s">
        <v>63</v>
      </c>
      <c r="J101" t="s">
        <v>64</v>
      </c>
      <c r="K101" s="2">
        <v>3</v>
      </c>
      <c r="L101" t="s">
        <v>143</v>
      </c>
      <c r="M101" s="3">
        <v>300</v>
      </c>
      <c r="N101" t="s">
        <v>45</v>
      </c>
      <c r="O101" t="s">
        <v>6</v>
      </c>
      <c r="P101" t="s">
        <v>113</v>
      </c>
      <c r="Q101" t="s">
        <v>146</v>
      </c>
      <c r="R101" s="3">
        <v>900</v>
      </c>
      <c r="S101" s="4">
        <v>45</v>
      </c>
      <c r="T101" t="s">
        <v>145</v>
      </c>
      <c r="U101">
        <v>855</v>
      </c>
      <c r="V101">
        <v>1</v>
      </c>
      <c r="W101"/>
    </row>
    <row r="102" spans="1:23" x14ac:dyDescent="0.3">
      <c r="A102">
        <v>101</v>
      </c>
      <c r="B102" s="1">
        <v>45569</v>
      </c>
      <c r="C102" t="s">
        <v>155</v>
      </c>
      <c r="D102">
        <v>2024</v>
      </c>
      <c r="E102" t="s">
        <v>5</v>
      </c>
      <c r="F102" t="s">
        <v>7</v>
      </c>
      <c r="G102" t="s">
        <v>6</v>
      </c>
      <c r="H102" t="s">
        <v>62</v>
      </c>
      <c r="I102" t="s">
        <v>63</v>
      </c>
      <c r="J102" t="s">
        <v>64</v>
      </c>
      <c r="K102" s="2">
        <v>2</v>
      </c>
      <c r="L102" t="s">
        <v>143</v>
      </c>
      <c r="M102" s="3">
        <v>150</v>
      </c>
      <c r="N102" t="s">
        <v>51</v>
      </c>
      <c r="O102" t="s">
        <v>6</v>
      </c>
      <c r="P102" t="s">
        <v>113</v>
      </c>
      <c r="Q102" t="s">
        <v>144</v>
      </c>
      <c r="R102" s="3">
        <v>300</v>
      </c>
      <c r="S102" s="4">
        <v>15</v>
      </c>
      <c r="T102" t="s">
        <v>145</v>
      </c>
      <c r="U102">
        <v>285</v>
      </c>
      <c r="V102">
        <v>1</v>
      </c>
      <c r="W102"/>
    </row>
    <row r="103" spans="1:23" x14ac:dyDescent="0.3">
      <c r="A103">
        <v>102</v>
      </c>
      <c r="B103" s="1">
        <v>45393</v>
      </c>
      <c r="C103" t="s">
        <v>156</v>
      </c>
      <c r="D103">
        <v>2024</v>
      </c>
      <c r="E103" t="s">
        <v>5</v>
      </c>
      <c r="F103" t="s">
        <v>7</v>
      </c>
      <c r="G103" t="s">
        <v>6</v>
      </c>
      <c r="H103" t="s">
        <v>62</v>
      </c>
      <c r="I103" t="s">
        <v>63</v>
      </c>
      <c r="J103" t="s">
        <v>64</v>
      </c>
      <c r="K103" s="2">
        <v>1</v>
      </c>
      <c r="L103" t="s">
        <v>143</v>
      </c>
      <c r="M103" s="3">
        <v>150</v>
      </c>
      <c r="N103" t="s">
        <v>51</v>
      </c>
      <c r="O103" t="s">
        <v>6</v>
      </c>
      <c r="P103" t="s">
        <v>113</v>
      </c>
      <c r="Q103" t="s">
        <v>144</v>
      </c>
      <c r="R103" s="3">
        <v>150</v>
      </c>
      <c r="S103" s="4">
        <v>0</v>
      </c>
      <c r="T103" t="s">
        <v>145</v>
      </c>
      <c r="U103">
        <v>150</v>
      </c>
      <c r="V103">
        <v>1</v>
      </c>
      <c r="W103"/>
    </row>
    <row r="104" spans="1:23" x14ac:dyDescent="0.3">
      <c r="A104">
        <v>103</v>
      </c>
      <c r="B104" s="1">
        <v>45630</v>
      </c>
      <c r="C104" t="s">
        <v>163</v>
      </c>
      <c r="D104">
        <v>2024</v>
      </c>
      <c r="E104" t="s">
        <v>12</v>
      </c>
      <c r="F104" t="s">
        <v>7</v>
      </c>
      <c r="G104" t="s">
        <v>13</v>
      </c>
      <c r="H104" t="s">
        <v>71</v>
      </c>
      <c r="I104" t="s">
        <v>63</v>
      </c>
      <c r="J104" t="s">
        <v>64</v>
      </c>
      <c r="K104" s="2">
        <v>3</v>
      </c>
      <c r="L104" t="s">
        <v>143</v>
      </c>
      <c r="M104" s="3">
        <v>300</v>
      </c>
      <c r="N104" t="s">
        <v>47</v>
      </c>
      <c r="O104" t="s">
        <v>10</v>
      </c>
      <c r="P104" t="s">
        <v>115</v>
      </c>
      <c r="Q104" t="s">
        <v>144</v>
      </c>
      <c r="R104" s="3">
        <v>900</v>
      </c>
      <c r="S104" s="4">
        <v>63</v>
      </c>
      <c r="T104" t="s">
        <v>145</v>
      </c>
      <c r="U104">
        <v>837</v>
      </c>
      <c r="V104">
        <v>1</v>
      </c>
      <c r="W104"/>
    </row>
    <row r="105" spans="1:23" x14ac:dyDescent="0.3">
      <c r="A105">
        <v>104</v>
      </c>
      <c r="B105" s="1">
        <v>45395</v>
      </c>
      <c r="C105" t="s">
        <v>156</v>
      </c>
      <c r="D105">
        <v>2024</v>
      </c>
      <c r="E105" t="s">
        <v>15</v>
      </c>
      <c r="F105" t="s">
        <v>7</v>
      </c>
      <c r="G105" t="s">
        <v>16</v>
      </c>
      <c r="H105" t="s">
        <v>58</v>
      </c>
      <c r="I105" t="s">
        <v>59</v>
      </c>
      <c r="J105" t="s">
        <v>60</v>
      </c>
      <c r="K105" s="2">
        <v>5</v>
      </c>
      <c r="L105" t="s">
        <v>143</v>
      </c>
      <c r="M105" s="3">
        <v>800</v>
      </c>
      <c r="N105" t="s">
        <v>49</v>
      </c>
      <c r="O105" t="s">
        <v>10</v>
      </c>
      <c r="P105" t="s">
        <v>117</v>
      </c>
      <c r="Q105" t="s">
        <v>146</v>
      </c>
      <c r="R105" s="3">
        <v>4000</v>
      </c>
      <c r="S105" s="4">
        <v>280</v>
      </c>
      <c r="T105" t="s">
        <v>150</v>
      </c>
      <c r="U105">
        <v>3720</v>
      </c>
      <c r="V105">
        <v>1</v>
      </c>
      <c r="W105"/>
    </row>
    <row r="106" spans="1:23" x14ac:dyDescent="0.3">
      <c r="A106">
        <v>105</v>
      </c>
      <c r="B106" s="1">
        <v>45396</v>
      </c>
      <c r="C106" t="s">
        <v>156</v>
      </c>
      <c r="D106">
        <v>2024</v>
      </c>
      <c r="E106" t="s">
        <v>15</v>
      </c>
      <c r="F106" t="s">
        <v>7</v>
      </c>
      <c r="G106" t="s">
        <v>16</v>
      </c>
      <c r="H106" t="s">
        <v>66</v>
      </c>
      <c r="I106" t="s">
        <v>59</v>
      </c>
      <c r="J106" t="s">
        <v>67</v>
      </c>
      <c r="K106" s="2">
        <v>2</v>
      </c>
      <c r="L106" t="s">
        <v>143</v>
      </c>
      <c r="M106" s="3">
        <v>20</v>
      </c>
      <c r="N106" t="s">
        <v>45</v>
      </c>
      <c r="O106" t="s">
        <v>16</v>
      </c>
      <c r="P106" t="s">
        <v>113</v>
      </c>
      <c r="Q106" t="s">
        <v>144</v>
      </c>
      <c r="R106" s="3">
        <v>40</v>
      </c>
      <c r="S106" s="4">
        <v>0</v>
      </c>
      <c r="T106" t="s">
        <v>145</v>
      </c>
      <c r="U106">
        <v>40</v>
      </c>
      <c r="V106">
        <v>1</v>
      </c>
      <c r="W106"/>
    </row>
    <row r="107" spans="1:23" x14ac:dyDescent="0.3">
      <c r="A107">
        <v>106</v>
      </c>
      <c r="B107" s="1">
        <v>45397</v>
      </c>
      <c r="C107" t="s">
        <v>156</v>
      </c>
      <c r="D107">
        <v>2024</v>
      </c>
      <c r="E107" t="s">
        <v>9</v>
      </c>
      <c r="F107" t="s">
        <v>7</v>
      </c>
      <c r="G107" t="s">
        <v>10</v>
      </c>
      <c r="H107" t="s">
        <v>69</v>
      </c>
      <c r="I107" t="s">
        <v>59</v>
      </c>
      <c r="J107" t="s">
        <v>67</v>
      </c>
      <c r="K107" s="2"/>
      <c r="L107" t="s">
        <v>147</v>
      </c>
      <c r="M107" s="3">
        <v>50</v>
      </c>
      <c r="N107" t="s">
        <v>51</v>
      </c>
      <c r="O107" t="s">
        <v>13</v>
      </c>
      <c r="P107" t="s">
        <v>113</v>
      </c>
      <c r="Q107" t="s">
        <v>148</v>
      </c>
      <c r="R107" s="3"/>
      <c r="S107" s="4"/>
      <c r="V107">
        <v>1</v>
      </c>
      <c r="W107"/>
    </row>
    <row r="108" spans="1:23" x14ac:dyDescent="0.3">
      <c r="A108">
        <v>107</v>
      </c>
      <c r="B108" s="1">
        <v>45398</v>
      </c>
      <c r="C108" t="s">
        <v>156</v>
      </c>
      <c r="D108">
        <v>2024</v>
      </c>
      <c r="E108" t="s">
        <v>9</v>
      </c>
      <c r="F108" t="s">
        <v>7</v>
      </c>
      <c r="G108" t="s">
        <v>10</v>
      </c>
      <c r="H108" t="s">
        <v>73</v>
      </c>
      <c r="I108" t="s">
        <v>59</v>
      </c>
      <c r="J108" t="s">
        <v>74</v>
      </c>
      <c r="K108" s="2">
        <v>4</v>
      </c>
      <c r="L108" t="s">
        <v>143</v>
      </c>
      <c r="M108" s="3">
        <v>200</v>
      </c>
      <c r="N108" t="s">
        <v>47</v>
      </c>
      <c r="O108" t="s">
        <v>6</v>
      </c>
      <c r="P108" t="s">
        <v>115</v>
      </c>
      <c r="Q108" t="s">
        <v>144</v>
      </c>
      <c r="R108" s="3">
        <v>800</v>
      </c>
      <c r="S108" s="4">
        <v>40</v>
      </c>
      <c r="T108" t="s">
        <v>145</v>
      </c>
      <c r="U108">
        <v>760</v>
      </c>
      <c r="V108">
        <v>1</v>
      </c>
      <c r="W108"/>
    </row>
    <row r="109" spans="1:23" x14ac:dyDescent="0.3">
      <c r="A109">
        <v>108</v>
      </c>
      <c r="B109" s="1">
        <v>45399</v>
      </c>
      <c r="C109" t="s">
        <v>156</v>
      </c>
      <c r="D109">
        <v>2024</v>
      </c>
      <c r="E109" t="s">
        <v>5</v>
      </c>
      <c r="F109" t="s">
        <v>7</v>
      </c>
      <c r="G109" t="s">
        <v>6</v>
      </c>
      <c r="H109" t="s">
        <v>71</v>
      </c>
      <c r="I109" t="s">
        <v>63</v>
      </c>
      <c r="J109" t="s">
        <v>64</v>
      </c>
      <c r="K109" s="2">
        <v>1</v>
      </c>
      <c r="L109" t="s">
        <v>143</v>
      </c>
      <c r="M109" s="3">
        <v>300</v>
      </c>
      <c r="N109" t="s">
        <v>51</v>
      </c>
      <c r="O109" t="s">
        <v>6</v>
      </c>
      <c r="P109" t="s">
        <v>113</v>
      </c>
      <c r="Q109" t="s">
        <v>146</v>
      </c>
      <c r="R109" s="3">
        <v>300</v>
      </c>
      <c r="S109" s="4">
        <v>0</v>
      </c>
      <c r="T109" t="s">
        <v>145</v>
      </c>
      <c r="U109">
        <v>300</v>
      </c>
      <c r="V109">
        <v>1</v>
      </c>
      <c r="W109"/>
    </row>
    <row r="110" spans="1:23" x14ac:dyDescent="0.3">
      <c r="A110">
        <v>109</v>
      </c>
      <c r="B110" s="1">
        <v>45400</v>
      </c>
      <c r="C110" t="s">
        <v>156</v>
      </c>
      <c r="D110">
        <v>2024</v>
      </c>
      <c r="E110" t="s">
        <v>12</v>
      </c>
      <c r="F110" t="s">
        <v>7</v>
      </c>
      <c r="G110" t="s">
        <v>13</v>
      </c>
      <c r="H110" t="s">
        <v>58</v>
      </c>
      <c r="I110" t="s">
        <v>59</v>
      </c>
      <c r="J110" t="s">
        <v>60</v>
      </c>
      <c r="K110" s="2">
        <v>2</v>
      </c>
      <c r="L110" t="s">
        <v>143</v>
      </c>
      <c r="M110" s="3">
        <v>800</v>
      </c>
      <c r="N110" t="s">
        <v>49</v>
      </c>
      <c r="O110" t="s">
        <v>10</v>
      </c>
      <c r="P110" t="s">
        <v>117</v>
      </c>
      <c r="Q110" t="s">
        <v>144</v>
      </c>
      <c r="R110" s="3">
        <v>1600</v>
      </c>
      <c r="S110" s="4">
        <v>0</v>
      </c>
      <c r="T110" t="s">
        <v>149</v>
      </c>
      <c r="U110">
        <v>1600</v>
      </c>
      <c r="V110">
        <v>1</v>
      </c>
      <c r="W110"/>
    </row>
    <row r="111" spans="1:23" x14ac:dyDescent="0.3">
      <c r="A111">
        <v>110</v>
      </c>
      <c r="B111" s="1">
        <v>45401</v>
      </c>
      <c r="C111" t="s">
        <v>156</v>
      </c>
      <c r="D111">
        <v>2024</v>
      </c>
      <c r="E111" t="s">
        <v>15</v>
      </c>
      <c r="F111" t="s">
        <v>7</v>
      </c>
      <c r="G111" t="s">
        <v>16</v>
      </c>
      <c r="H111" t="s">
        <v>62</v>
      </c>
      <c r="I111" t="s">
        <v>63</v>
      </c>
      <c r="J111" t="s">
        <v>64</v>
      </c>
      <c r="K111" s="2">
        <v>3</v>
      </c>
      <c r="L111" t="s">
        <v>143</v>
      </c>
      <c r="M111" s="3">
        <v>150</v>
      </c>
      <c r="N111" t="s">
        <v>45</v>
      </c>
      <c r="O111" t="s">
        <v>16</v>
      </c>
      <c r="P111" t="s">
        <v>113</v>
      </c>
      <c r="Q111" t="s">
        <v>144</v>
      </c>
      <c r="R111" s="3">
        <v>450</v>
      </c>
      <c r="S111" s="4">
        <v>27</v>
      </c>
      <c r="T111" t="s">
        <v>145</v>
      </c>
      <c r="U111">
        <v>423</v>
      </c>
      <c r="V111">
        <v>1</v>
      </c>
      <c r="W111"/>
    </row>
    <row r="112" spans="1:23" x14ac:dyDescent="0.3">
      <c r="A112">
        <v>111</v>
      </c>
      <c r="B112" s="1">
        <v>45402</v>
      </c>
      <c r="C112" t="s">
        <v>156</v>
      </c>
      <c r="D112">
        <v>2024</v>
      </c>
      <c r="E112" t="s">
        <v>15</v>
      </c>
      <c r="F112" t="s">
        <v>7</v>
      </c>
      <c r="G112" t="s">
        <v>16</v>
      </c>
      <c r="H112" t="s">
        <v>66</v>
      </c>
      <c r="I112" t="s">
        <v>59</v>
      </c>
      <c r="J112" t="s">
        <v>67</v>
      </c>
      <c r="K112" s="2">
        <v>1</v>
      </c>
      <c r="L112" t="s">
        <v>143</v>
      </c>
      <c r="M112" s="3">
        <v>20</v>
      </c>
      <c r="N112" t="s">
        <v>51</v>
      </c>
      <c r="O112" t="s">
        <v>6</v>
      </c>
      <c r="P112" t="s">
        <v>113</v>
      </c>
      <c r="Q112" t="s">
        <v>144</v>
      </c>
      <c r="R112" s="3">
        <v>20</v>
      </c>
      <c r="S112" s="4">
        <v>0</v>
      </c>
      <c r="T112" t="s">
        <v>145</v>
      </c>
      <c r="U112">
        <v>20</v>
      </c>
      <c r="V112">
        <v>1</v>
      </c>
      <c r="W112"/>
    </row>
    <row r="113" spans="1:23" x14ac:dyDescent="0.3">
      <c r="A113">
        <v>112</v>
      </c>
      <c r="B113" s="1">
        <v>45403</v>
      </c>
      <c r="C113" t="s">
        <v>156</v>
      </c>
      <c r="D113">
        <v>2024</v>
      </c>
      <c r="E113" t="s">
        <v>5</v>
      </c>
      <c r="F113" t="s">
        <v>7</v>
      </c>
      <c r="G113" t="s">
        <v>6</v>
      </c>
      <c r="H113" t="s">
        <v>69</v>
      </c>
      <c r="I113" t="s">
        <v>59</v>
      </c>
      <c r="J113" t="s">
        <v>67</v>
      </c>
      <c r="K113" s="2">
        <v>2</v>
      </c>
      <c r="L113" t="s">
        <v>143</v>
      </c>
      <c r="M113" s="3">
        <v>50</v>
      </c>
      <c r="N113" t="s">
        <v>47</v>
      </c>
      <c r="O113" t="s">
        <v>13</v>
      </c>
      <c r="P113" t="s">
        <v>115</v>
      </c>
      <c r="Q113" t="s">
        <v>146</v>
      </c>
      <c r="R113" s="3">
        <v>100</v>
      </c>
      <c r="S113" s="4">
        <v>4</v>
      </c>
      <c r="T113" t="s">
        <v>145</v>
      </c>
      <c r="U113">
        <v>96</v>
      </c>
      <c r="V113">
        <v>1</v>
      </c>
      <c r="W113"/>
    </row>
    <row r="114" spans="1:23" x14ac:dyDescent="0.3">
      <c r="A114">
        <v>113</v>
      </c>
      <c r="B114" s="1">
        <v>45404</v>
      </c>
      <c r="C114" t="s">
        <v>156</v>
      </c>
      <c r="D114">
        <v>2024</v>
      </c>
      <c r="E114" t="s">
        <v>9</v>
      </c>
      <c r="F114" t="s">
        <v>7</v>
      </c>
      <c r="G114" t="s">
        <v>10</v>
      </c>
      <c r="H114" t="s">
        <v>71</v>
      </c>
      <c r="I114" t="s">
        <v>63</v>
      </c>
      <c r="J114" t="s">
        <v>64</v>
      </c>
      <c r="K114" s="2"/>
      <c r="L114" t="s">
        <v>147</v>
      </c>
      <c r="M114" s="3">
        <v>300</v>
      </c>
      <c r="N114" t="s">
        <v>49</v>
      </c>
      <c r="O114" t="s">
        <v>10</v>
      </c>
      <c r="P114" t="s">
        <v>117</v>
      </c>
      <c r="Q114" t="s">
        <v>144</v>
      </c>
      <c r="R114" s="3"/>
      <c r="S114" s="4"/>
      <c r="V114">
        <v>1</v>
      </c>
      <c r="W114"/>
    </row>
    <row r="115" spans="1:23" x14ac:dyDescent="0.3">
      <c r="A115">
        <v>114</v>
      </c>
      <c r="B115" s="1">
        <v>45405</v>
      </c>
      <c r="C115" t="s">
        <v>156</v>
      </c>
      <c r="D115">
        <v>2024</v>
      </c>
      <c r="E115" t="s">
        <v>12</v>
      </c>
      <c r="F115" t="s">
        <v>7</v>
      </c>
      <c r="G115" t="s">
        <v>13</v>
      </c>
      <c r="H115" t="s">
        <v>73</v>
      </c>
      <c r="I115" t="s">
        <v>59</v>
      </c>
      <c r="J115" t="s">
        <v>74</v>
      </c>
      <c r="K115" s="2">
        <v>3</v>
      </c>
      <c r="L115" t="s">
        <v>143</v>
      </c>
      <c r="M115" s="3">
        <v>200</v>
      </c>
      <c r="N115" t="s">
        <v>51</v>
      </c>
      <c r="O115" t="s">
        <v>6</v>
      </c>
      <c r="P115" t="s">
        <v>113</v>
      </c>
      <c r="Q115" t="s">
        <v>148</v>
      </c>
      <c r="R115" s="3">
        <v>600</v>
      </c>
      <c r="S115" s="4">
        <v>30</v>
      </c>
      <c r="T115" t="s">
        <v>145</v>
      </c>
      <c r="U115">
        <v>570</v>
      </c>
      <c r="V115">
        <v>1</v>
      </c>
      <c r="W115"/>
    </row>
    <row r="116" spans="1:23" x14ac:dyDescent="0.3">
      <c r="A116">
        <v>115</v>
      </c>
      <c r="B116" s="1">
        <v>45406</v>
      </c>
      <c r="C116" t="s">
        <v>156</v>
      </c>
      <c r="D116">
        <v>2024</v>
      </c>
      <c r="E116" t="s">
        <v>15</v>
      </c>
      <c r="F116" t="s">
        <v>7</v>
      </c>
      <c r="G116" t="s">
        <v>16</v>
      </c>
      <c r="H116" t="s">
        <v>58</v>
      </c>
      <c r="I116" t="s">
        <v>59</v>
      </c>
      <c r="J116" t="s">
        <v>60</v>
      </c>
      <c r="K116" s="2">
        <v>2</v>
      </c>
      <c r="L116" t="s">
        <v>143</v>
      </c>
      <c r="M116" s="3">
        <v>800</v>
      </c>
      <c r="N116" t="s">
        <v>45</v>
      </c>
      <c r="O116" t="s">
        <v>16</v>
      </c>
      <c r="P116" t="s">
        <v>113</v>
      </c>
      <c r="Q116" t="s">
        <v>144</v>
      </c>
      <c r="R116" s="3">
        <v>1600</v>
      </c>
      <c r="S116" s="4">
        <v>0</v>
      </c>
      <c r="T116" t="s">
        <v>149</v>
      </c>
      <c r="U116">
        <v>1600</v>
      </c>
      <c r="V116">
        <v>1</v>
      </c>
      <c r="W116"/>
    </row>
    <row r="117" spans="1:23" x14ac:dyDescent="0.3">
      <c r="A117">
        <v>116</v>
      </c>
      <c r="B117" s="1">
        <v>45407</v>
      </c>
      <c r="C117" t="s">
        <v>156</v>
      </c>
      <c r="D117">
        <v>2024</v>
      </c>
      <c r="E117" t="s">
        <v>5</v>
      </c>
      <c r="F117" t="s">
        <v>7</v>
      </c>
      <c r="G117" t="s">
        <v>6</v>
      </c>
      <c r="H117" t="s">
        <v>62</v>
      </c>
      <c r="I117" t="s">
        <v>63</v>
      </c>
      <c r="J117" t="s">
        <v>64</v>
      </c>
      <c r="K117" s="2">
        <v>1</v>
      </c>
      <c r="L117" t="s">
        <v>143</v>
      </c>
      <c r="M117" s="3">
        <v>150</v>
      </c>
      <c r="N117" t="s">
        <v>51</v>
      </c>
      <c r="O117" t="s">
        <v>6</v>
      </c>
      <c r="P117" t="s">
        <v>113</v>
      </c>
      <c r="Q117" t="s">
        <v>146</v>
      </c>
      <c r="R117" s="3">
        <v>150</v>
      </c>
      <c r="S117" s="4">
        <v>0</v>
      </c>
      <c r="T117" t="s">
        <v>145</v>
      </c>
      <c r="U117">
        <v>150</v>
      </c>
      <c r="V117">
        <v>1</v>
      </c>
      <c r="W117"/>
    </row>
    <row r="118" spans="1:23" x14ac:dyDescent="0.3">
      <c r="A118">
        <v>117</v>
      </c>
      <c r="B118" s="1">
        <v>45408</v>
      </c>
      <c r="C118" t="s">
        <v>156</v>
      </c>
      <c r="D118">
        <v>2024</v>
      </c>
      <c r="E118" t="s">
        <v>9</v>
      </c>
      <c r="F118" t="s">
        <v>7</v>
      </c>
      <c r="G118" t="s">
        <v>10</v>
      </c>
      <c r="H118" t="s">
        <v>66</v>
      </c>
      <c r="I118" t="s">
        <v>59</v>
      </c>
      <c r="J118" t="s">
        <v>67</v>
      </c>
      <c r="K118" s="2">
        <v>2</v>
      </c>
      <c r="L118" t="s">
        <v>143</v>
      </c>
      <c r="M118" s="3">
        <v>20</v>
      </c>
      <c r="N118" t="s">
        <v>47</v>
      </c>
      <c r="O118" t="s">
        <v>10</v>
      </c>
      <c r="P118" t="s">
        <v>115</v>
      </c>
      <c r="Q118" t="s">
        <v>144</v>
      </c>
      <c r="R118" s="3">
        <v>40</v>
      </c>
      <c r="S118" s="4">
        <v>0</v>
      </c>
      <c r="T118" t="s">
        <v>145</v>
      </c>
      <c r="U118">
        <v>40</v>
      </c>
      <c r="V118">
        <v>1</v>
      </c>
      <c r="W118"/>
    </row>
    <row r="119" spans="1:23" x14ac:dyDescent="0.3">
      <c r="A119">
        <v>118</v>
      </c>
      <c r="B119" s="1">
        <v>45409</v>
      </c>
      <c r="C119" t="s">
        <v>156</v>
      </c>
      <c r="D119">
        <v>2024</v>
      </c>
      <c r="E119" t="s">
        <v>12</v>
      </c>
      <c r="F119" t="s">
        <v>7</v>
      </c>
      <c r="G119" t="s">
        <v>13</v>
      </c>
      <c r="H119" t="s">
        <v>69</v>
      </c>
      <c r="I119" t="s">
        <v>59</v>
      </c>
      <c r="J119" t="s">
        <v>67</v>
      </c>
      <c r="K119" s="2">
        <v>5</v>
      </c>
      <c r="L119" t="s">
        <v>143</v>
      </c>
      <c r="M119" s="3">
        <v>50</v>
      </c>
      <c r="N119" t="s">
        <v>49</v>
      </c>
      <c r="O119" t="s">
        <v>13</v>
      </c>
      <c r="P119" t="s">
        <v>117</v>
      </c>
      <c r="Q119" t="s">
        <v>144</v>
      </c>
      <c r="R119" s="3">
        <v>250</v>
      </c>
      <c r="S119" s="4">
        <v>10</v>
      </c>
      <c r="T119" t="s">
        <v>145</v>
      </c>
      <c r="U119">
        <v>240</v>
      </c>
      <c r="V119">
        <v>1</v>
      </c>
      <c r="W119"/>
    </row>
    <row r="120" spans="1:23" x14ac:dyDescent="0.3">
      <c r="A120">
        <v>119</v>
      </c>
      <c r="B120" s="1">
        <v>45410</v>
      </c>
      <c r="C120" t="s">
        <v>156</v>
      </c>
      <c r="D120">
        <v>2024</v>
      </c>
      <c r="E120" t="s">
        <v>15</v>
      </c>
      <c r="F120" t="s">
        <v>7</v>
      </c>
      <c r="G120" t="s">
        <v>16</v>
      </c>
      <c r="H120" t="s">
        <v>71</v>
      </c>
      <c r="I120" t="s">
        <v>63</v>
      </c>
      <c r="J120" t="s">
        <v>64</v>
      </c>
      <c r="K120" s="2">
        <v>4</v>
      </c>
      <c r="L120" t="s">
        <v>143</v>
      </c>
      <c r="M120" s="3">
        <v>300</v>
      </c>
      <c r="N120" t="s">
        <v>51</v>
      </c>
      <c r="O120" t="s">
        <v>6</v>
      </c>
      <c r="P120" t="s">
        <v>113</v>
      </c>
      <c r="Q120" t="s">
        <v>144</v>
      </c>
      <c r="R120" s="3">
        <v>1200</v>
      </c>
      <c r="S120" s="4">
        <v>60</v>
      </c>
      <c r="T120" t="s">
        <v>149</v>
      </c>
      <c r="U120">
        <v>1140</v>
      </c>
      <c r="V120">
        <v>1</v>
      </c>
      <c r="W120"/>
    </row>
    <row r="121" spans="1:23" x14ac:dyDescent="0.3">
      <c r="A121">
        <v>120</v>
      </c>
      <c r="B121" s="1">
        <v>45411</v>
      </c>
      <c r="C121" t="s">
        <v>156</v>
      </c>
      <c r="D121">
        <v>2024</v>
      </c>
      <c r="E121" t="s">
        <v>15</v>
      </c>
      <c r="F121" t="s">
        <v>7</v>
      </c>
      <c r="G121" t="s">
        <v>16</v>
      </c>
      <c r="H121" t="s">
        <v>58</v>
      </c>
      <c r="I121" t="s">
        <v>59</v>
      </c>
      <c r="J121" t="s">
        <v>60</v>
      </c>
      <c r="K121" s="2"/>
      <c r="L121" t="s">
        <v>147</v>
      </c>
      <c r="M121" s="3">
        <v>800</v>
      </c>
      <c r="N121" t="s">
        <v>45</v>
      </c>
      <c r="O121" t="s">
        <v>16</v>
      </c>
      <c r="P121" t="s">
        <v>113</v>
      </c>
      <c r="Q121" t="s">
        <v>146</v>
      </c>
      <c r="R121" s="3"/>
      <c r="S121" s="4"/>
      <c r="V121">
        <v>1</v>
      </c>
      <c r="W121"/>
    </row>
    <row r="122" spans="1:23" x14ac:dyDescent="0.3">
      <c r="A122">
        <v>121</v>
      </c>
      <c r="B122" s="1">
        <v>45412</v>
      </c>
      <c r="C122" t="s">
        <v>156</v>
      </c>
      <c r="D122">
        <v>2024</v>
      </c>
      <c r="E122" t="s">
        <v>5</v>
      </c>
      <c r="F122" t="s">
        <v>7</v>
      </c>
      <c r="G122" t="s">
        <v>6</v>
      </c>
      <c r="H122" t="s">
        <v>62</v>
      </c>
      <c r="I122" t="s">
        <v>63</v>
      </c>
      <c r="J122" t="s">
        <v>64</v>
      </c>
      <c r="K122" s="2">
        <v>3</v>
      </c>
      <c r="L122" t="s">
        <v>143</v>
      </c>
      <c r="M122" s="3">
        <v>150</v>
      </c>
      <c r="N122" t="s">
        <v>51</v>
      </c>
      <c r="O122" t="s">
        <v>6</v>
      </c>
      <c r="P122" t="s">
        <v>113</v>
      </c>
      <c r="Q122" t="s">
        <v>144</v>
      </c>
      <c r="R122" s="3">
        <v>450</v>
      </c>
      <c r="S122" s="4">
        <v>22.5</v>
      </c>
      <c r="T122" t="s">
        <v>145</v>
      </c>
      <c r="U122">
        <v>427.5</v>
      </c>
      <c r="V122">
        <v>1</v>
      </c>
      <c r="W122"/>
    </row>
    <row r="123" spans="1:23" x14ac:dyDescent="0.3">
      <c r="A123">
        <v>122</v>
      </c>
      <c r="B123" s="1">
        <v>45296</v>
      </c>
      <c r="C123" t="s">
        <v>153</v>
      </c>
      <c r="D123">
        <v>2024</v>
      </c>
      <c r="E123" t="s">
        <v>12</v>
      </c>
      <c r="F123" t="s">
        <v>7</v>
      </c>
      <c r="G123" t="s">
        <v>13</v>
      </c>
      <c r="H123" t="s">
        <v>66</v>
      </c>
      <c r="I123" t="s">
        <v>59</v>
      </c>
      <c r="J123" t="s">
        <v>67</v>
      </c>
      <c r="K123" s="2">
        <v>1</v>
      </c>
      <c r="L123" t="s">
        <v>143</v>
      </c>
      <c r="M123" s="3">
        <v>20</v>
      </c>
      <c r="N123" t="s">
        <v>47</v>
      </c>
      <c r="O123" t="s">
        <v>10</v>
      </c>
      <c r="P123" t="s">
        <v>115</v>
      </c>
      <c r="Q123" t="s">
        <v>148</v>
      </c>
      <c r="R123" s="3">
        <v>20</v>
      </c>
      <c r="S123" s="4">
        <v>0</v>
      </c>
      <c r="T123" t="s">
        <v>145</v>
      </c>
      <c r="U123">
        <v>20</v>
      </c>
      <c r="V123">
        <v>1</v>
      </c>
      <c r="W123"/>
    </row>
    <row r="124" spans="1:23" x14ac:dyDescent="0.3">
      <c r="A124">
        <v>123</v>
      </c>
      <c r="B124" s="1">
        <v>45327</v>
      </c>
      <c r="C124" t="s">
        <v>157</v>
      </c>
      <c r="D124">
        <v>2024</v>
      </c>
      <c r="E124" t="s">
        <v>9</v>
      </c>
      <c r="F124" t="s">
        <v>7</v>
      </c>
      <c r="G124" t="s">
        <v>10</v>
      </c>
      <c r="H124" t="s">
        <v>73</v>
      </c>
      <c r="I124" t="s">
        <v>59</v>
      </c>
      <c r="J124" t="s">
        <v>74</v>
      </c>
      <c r="K124" s="2">
        <v>2</v>
      </c>
      <c r="L124" t="s">
        <v>143</v>
      </c>
      <c r="M124" s="3">
        <v>200</v>
      </c>
      <c r="N124" t="s">
        <v>49</v>
      </c>
      <c r="O124" t="s">
        <v>10</v>
      </c>
      <c r="P124" t="s">
        <v>117</v>
      </c>
      <c r="Q124" t="s">
        <v>144</v>
      </c>
      <c r="R124" s="3">
        <v>400</v>
      </c>
      <c r="S124" s="4">
        <v>0</v>
      </c>
      <c r="T124" t="s">
        <v>145</v>
      </c>
      <c r="U124">
        <v>400</v>
      </c>
      <c r="V124">
        <v>1</v>
      </c>
      <c r="W124"/>
    </row>
    <row r="125" spans="1:23" x14ac:dyDescent="0.3">
      <c r="A125">
        <v>124</v>
      </c>
      <c r="B125" s="1">
        <v>45356</v>
      </c>
      <c r="C125" t="s">
        <v>158</v>
      </c>
      <c r="D125">
        <v>2024</v>
      </c>
      <c r="E125" t="s">
        <v>15</v>
      </c>
      <c r="F125" t="s">
        <v>7</v>
      </c>
      <c r="G125" t="s">
        <v>16</v>
      </c>
      <c r="H125" t="s">
        <v>69</v>
      </c>
      <c r="I125" t="s">
        <v>59</v>
      </c>
      <c r="J125" t="s">
        <v>67</v>
      </c>
      <c r="K125" s="2">
        <v>2</v>
      </c>
      <c r="L125" t="s">
        <v>143</v>
      </c>
      <c r="M125" s="3">
        <v>50</v>
      </c>
      <c r="N125" t="s">
        <v>51</v>
      </c>
      <c r="O125" t="s">
        <v>13</v>
      </c>
      <c r="P125" t="s">
        <v>113</v>
      </c>
      <c r="Q125" t="s">
        <v>146</v>
      </c>
      <c r="R125" s="3">
        <v>100</v>
      </c>
      <c r="S125" s="4">
        <v>4</v>
      </c>
      <c r="T125" t="s">
        <v>145</v>
      </c>
      <c r="U125">
        <v>96</v>
      </c>
      <c r="V125">
        <v>1</v>
      </c>
      <c r="W125"/>
    </row>
    <row r="126" spans="1:23" x14ac:dyDescent="0.3">
      <c r="A126">
        <v>125</v>
      </c>
      <c r="B126" s="1">
        <v>45387</v>
      </c>
      <c r="C126" t="s">
        <v>156</v>
      </c>
      <c r="D126">
        <v>2024</v>
      </c>
      <c r="E126" t="s">
        <v>5</v>
      </c>
      <c r="F126" t="s">
        <v>7</v>
      </c>
      <c r="G126" t="s">
        <v>6</v>
      </c>
      <c r="H126" t="s">
        <v>71</v>
      </c>
      <c r="I126" t="s">
        <v>63</v>
      </c>
      <c r="J126" t="s">
        <v>64</v>
      </c>
      <c r="K126" s="2">
        <v>5</v>
      </c>
      <c r="L126" t="s">
        <v>143</v>
      </c>
      <c r="M126" s="3">
        <v>300</v>
      </c>
      <c r="N126" t="s">
        <v>45</v>
      </c>
      <c r="O126" t="s">
        <v>6</v>
      </c>
      <c r="P126" t="s">
        <v>113</v>
      </c>
      <c r="Q126" t="s">
        <v>144</v>
      </c>
      <c r="R126" s="3">
        <v>1500</v>
      </c>
      <c r="S126" s="4">
        <v>75</v>
      </c>
      <c r="T126" t="s">
        <v>149</v>
      </c>
      <c r="U126">
        <v>1425</v>
      </c>
      <c r="V126">
        <v>1</v>
      </c>
      <c r="W126"/>
    </row>
    <row r="127" spans="1:23" x14ac:dyDescent="0.3">
      <c r="A127">
        <v>126</v>
      </c>
      <c r="B127" s="1">
        <v>45417</v>
      </c>
      <c r="C127" t="s">
        <v>159</v>
      </c>
      <c r="D127">
        <v>2024</v>
      </c>
      <c r="E127" t="s">
        <v>12</v>
      </c>
      <c r="F127" t="s">
        <v>7</v>
      </c>
      <c r="G127" t="s">
        <v>13</v>
      </c>
      <c r="H127" t="s">
        <v>58</v>
      </c>
      <c r="I127" t="s">
        <v>59</v>
      </c>
      <c r="J127" t="s">
        <v>60</v>
      </c>
      <c r="K127" s="2">
        <v>3</v>
      </c>
      <c r="L127" t="s">
        <v>143</v>
      </c>
      <c r="M127" s="3">
        <v>800</v>
      </c>
      <c r="N127" t="s">
        <v>51</v>
      </c>
      <c r="O127" t="s">
        <v>6</v>
      </c>
      <c r="P127" t="s">
        <v>113</v>
      </c>
      <c r="Q127" t="s">
        <v>144</v>
      </c>
      <c r="R127" s="3">
        <v>2400</v>
      </c>
      <c r="S127" s="4">
        <v>120</v>
      </c>
      <c r="T127" t="s">
        <v>150</v>
      </c>
      <c r="U127">
        <v>2280</v>
      </c>
      <c r="V127">
        <v>1</v>
      </c>
      <c r="W127"/>
    </row>
    <row r="128" spans="1:23" x14ac:dyDescent="0.3">
      <c r="A128">
        <v>127</v>
      </c>
      <c r="B128" s="1">
        <v>45448</v>
      </c>
      <c r="C128" t="s">
        <v>164</v>
      </c>
      <c r="D128">
        <v>2024</v>
      </c>
      <c r="E128" t="s">
        <v>15</v>
      </c>
      <c r="F128" t="s">
        <v>7</v>
      </c>
      <c r="G128" t="s">
        <v>16</v>
      </c>
      <c r="H128" t="s">
        <v>62</v>
      </c>
      <c r="I128" t="s">
        <v>63</v>
      </c>
      <c r="J128" t="s">
        <v>64</v>
      </c>
      <c r="K128" s="2">
        <v>1</v>
      </c>
      <c r="L128" t="s">
        <v>143</v>
      </c>
      <c r="M128" s="3">
        <v>150</v>
      </c>
      <c r="N128" t="s">
        <v>47</v>
      </c>
      <c r="O128" t="s">
        <v>16</v>
      </c>
      <c r="P128" t="s">
        <v>115</v>
      </c>
      <c r="Q128" t="s">
        <v>144</v>
      </c>
      <c r="R128" s="3">
        <v>150</v>
      </c>
      <c r="S128" s="4">
        <v>0</v>
      </c>
      <c r="T128" t="s">
        <v>145</v>
      </c>
      <c r="U128">
        <v>150</v>
      </c>
      <c r="V128">
        <v>1</v>
      </c>
      <c r="W128"/>
    </row>
    <row r="129" spans="1:23" x14ac:dyDescent="0.3">
      <c r="A129">
        <v>128</v>
      </c>
      <c r="B129" s="1">
        <v>45478</v>
      </c>
      <c r="C129" t="s">
        <v>160</v>
      </c>
      <c r="D129">
        <v>2024</v>
      </c>
      <c r="E129" t="s">
        <v>9</v>
      </c>
      <c r="F129" t="s">
        <v>7</v>
      </c>
      <c r="G129" t="s">
        <v>10</v>
      </c>
      <c r="H129" t="s">
        <v>66</v>
      </c>
      <c r="I129" t="s">
        <v>59</v>
      </c>
      <c r="J129" t="s">
        <v>67</v>
      </c>
      <c r="K129" s="2"/>
      <c r="L129" t="s">
        <v>147</v>
      </c>
      <c r="M129" s="3">
        <v>20</v>
      </c>
      <c r="N129" t="s">
        <v>49</v>
      </c>
      <c r="O129" t="s">
        <v>10</v>
      </c>
      <c r="P129" t="s">
        <v>117</v>
      </c>
      <c r="Q129" t="s">
        <v>146</v>
      </c>
      <c r="R129" s="3"/>
      <c r="S129" s="4"/>
      <c r="V129">
        <v>1</v>
      </c>
      <c r="W129"/>
    </row>
    <row r="130" spans="1:23" x14ac:dyDescent="0.3">
      <c r="A130">
        <v>129</v>
      </c>
      <c r="B130" s="1">
        <v>45509</v>
      </c>
      <c r="C130" t="s">
        <v>154</v>
      </c>
      <c r="D130">
        <v>2024</v>
      </c>
      <c r="E130" t="s">
        <v>5</v>
      </c>
      <c r="F130" t="s">
        <v>7</v>
      </c>
      <c r="G130" t="s">
        <v>6</v>
      </c>
      <c r="H130" t="s">
        <v>69</v>
      </c>
      <c r="I130" t="s">
        <v>59</v>
      </c>
      <c r="J130" t="s">
        <v>67</v>
      </c>
      <c r="K130" s="2">
        <v>2</v>
      </c>
      <c r="L130" t="s">
        <v>143</v>
      </c>
      <c r="M130" s="3">
        <v>50</v>
      </c>
      <c r="N130" t="s">
        <v>51</v>
      </c>
      <c r="O130" t="s">
        <v>6</v>
      </c>
      <c r="P130" t="s">
        <v>113</v>
      </c>
      <c r="Q130" t="s">
        <v>144</v>
      </c>
      <c r="R130" s="3">
        <v>100</v>
      </c>
      <c r="S130" s="4">
        <v>5</v>
      </c>
      <c r="T130" t="s">
        <v>145</v>
      </c>
      <c r="U130">
        <v>95</v>
      </c>
      <c r="V130">
        <v>1</v>
      </c>
      <c r="W130"/>
    </row>
    <row r="131" spans="1:23" x14ac:dyDescent="0.3">
      <c r="A131">
        <v>130</v>
      </c>
      <c r="B131" s="1">
        <v>45540</v>
      </c>
      <c r="C131" t="s">
        <v>161</v>
      </c>
      <c r="D131">
        <v>2024</v>
      </c>
      <c r="E131" t="s">
        <v>12</v>
      </c>
      <c r="F131" t="s">
        <v>7</v>
      </c>
      <c r="G131" t="s">
        <v>13</v>
      </c>
      <c r="H131" t="s">
        <v>71</v>
      </c>
      <c r="I131" t="s">
        <v>63</v>
      </c>
      <c r="J131" t="s">
        <v>64</v>
      </c>
      <c r="K131" s="2">
        <v>4</v>
      </c>
      <c r="L131" t="s">
        <v>143</v>
      </c>
      <c r="M131" s="3">
        <v>300</v>
      </c>
      <c r="N131" t="s">
        <v>45</v>
      </c>
      <c r="O131" t="s">
        <v>10</v>
      </c>
      <c r="P131" t="s">
        <v>113</v>
      </c>
      <c r="Q131" t="s">
        <v>148</v>
      </c>
      <c r="R131" s="3">
        <v>1200</v>
      </c>
      <c r="S131" s="4">
        <v>84</v>
      </c>
      <c r="T131" t="s">
        <v>149</v>
      </c>
      <c r="U131">
        <v>1116</v>
      </c>
      <c r="V131">
        <v>1</v>
      </c>
      <c r="W131"/>
    </row>
    <row r="132" spans="1:23" x14ac:dyDescent="0.3">
      <c r="A132">
        <v>131</v>
      </c>
      <c r="B132" s="1">
        <v>45570</v>
      </c>
      <c r="C132" t="s">
        <v>155</v>
      </c>
      <c r="D132">
        <v>2024</v>
      </c>
      <c r="E132" t="s">
        <v>15</v>
      </c>
      <c r="F132" t="s">
        <v>7</v>
      </c>
      <c r="G132" t="s">
        <v>16</v>
      </c>
      <c r="H132" t="s">
        <v>58</v>
      </c>
      <c r="I132" t="s">
        <v>59</v>
      </c>
      <c r="J132" t="s">
        <v>60</v>
      </c>
      <c r="K132" s="2">
        <v>1</v>
      </c>
      <c r="L132" t="s">
        <v>143</v>
      </c>
      <c r="M132" s="3">
        <v>800</v>
      </c>
      <c r="N132" t="s">
        <v>51</v>
      </c>
      <c r="O132" t="s">
        <v>13</v>
      </c>
      <c r="P132" t="s">
        <v>113</v>
      </c>
      <c r="Q132" t="s">
        <v>144</v>
      </c>
      <c r="R132" s="3">
        <v>800</v>
      </c>
      <c r="S132" s="4">
        <v>0</v>
      </c>
      <c r="T132" t="s">
        <v>145</v>
      </c>
      <c r="U132">
        <v>800</v>
      </c>
      <c r="V132">
        <v>1</v>
      </c>
      <c r="W132"/>
    </row>
    <row r="133" spans="1:23" x14ac:dyDescent="0.3">
      <c r="A133">
        <v>132</v>
      </c>
      <c r="B133" s="1">
        <v>45601</v>
      </c>
      <c r="C133" t="s">
        <v>162</v>
      </c>
      <c r="D133">
        <v>2024</v>
      </c>
      <c r="E133" t="s">
        <v>15</v>
      </c>
      <c r="F133" t="s">
        <v>7</v>
      </c>
      <c r="G133" t="s">
        <v>16</v>
      </c>
      <c r="H133" t="s">
        <v>73</v>
      </c>
      <c r="I133" t="s">
        <v>59</v>
      </c>
      <c r="J133" t="s">
        <v>74</v>
      </c>
      <c r="K133" s="2">
        <v>3</v>
      </c>
      <c r="L133" t="s">
        <v>143</v>
      </c>
      <c r="M133" s="3">
        <v>200</v>
      </c>
      <c r="N133" t="s">
        <v>47</v>
      </c>
      <c r="O133" t="s">
        <v>6</v>
      </c>
      <c r="P133" t="s">
        <v>115</v>
      </c>
      <c r="Q133" t="s">
        <v>146</v>
      </c>
      <c r="R133" s="3">
        <v>600</v>
      </c>
      <c r="S133" s="4">
        <v>30</v>
      </c>
      <c r="T133" t="s">
        <v>145</v>
      </c>
      <c r="U133">
        <v>570</v>
      </c>
      <c r="V133">
        <v>1</v>
      </c>
      <c r="W133"/>
    </row>
    <row r="134" spans="1:23" x14ac:dyDescent="0.3">
      <c r="A134">
        <v>133</v>
      </c>
      <c r="B134" s="1">
        <v>45631</v>
      </c>
      <c r="C134" t="s">
        <v>163</v>
      </c>
      <c r="D134">
        <v>2024</v>
      </c>
      <c r="E134" t="s">
        <v>5</v>
      </c>
      <c r="F134" t="s">
        <v>7</v>
      </c>
      <c r="G134" t="s">
        <v>6</v>
      </c>
      <c r="H134" t="s">
        <v>62</v>
      </c>
      <c r="I134" t="s">
        <v>63</v>
      </c>
      <c r="J134" t="s">
        <v>64</v>
      </c>
      <c r="K134" s="2">
        <v>2</v>
      </c>
      <c r="L134" t="s">
        <v>143</v>
      </c>
      <c r="M134" s="3">
        <v>150</v>
      </c>
      <c r="N134" t="s">
        <v>49</v>
      </c>
      <c r="O134" t="s">
        <v>16</v>
      </c>
      <c r="P134" t="s">
        <v>117</v>
      </c>
      <c r="Q134" t="s">
        <v>144</v>
      </c>
      <c r="R134" s="3">
        <v>300</v>
      </c>
      <c r="S134" s="4">
        <v>0</v>
      </c>
      <c r="T134" t="s">
        <v>145</v>
      </c>
      <c r="U134">
        <v>300</v>
      </c>
      <c r="V134">
        <v>1</v>
      </c>
      <c r="W134"/>
    </row>
    <row r="135" spans="1:23" x14ac:dyDescent="0.3">
      <c r="A135">
        <v>134</v>
      </c>
      <c r="B135" s="1">
        <v>45425</v>
      </c>
      <c r="C135" t="s">
        <v>159</v>
      </c>
      <c r="D135">
        <v>2024</v>
      </c>
      <c r="E135" t="s">
        <v>9</v>
      </c>
      <c r="F135" t="s">
        <v>7</v>
      </c>
      <c r="G135" t="s">
        <v>10</v>
      </c>
      <c r="H135" t="s">
        <v>66</v>
      </c>
      <c r="I135" t="s">
        <v>59</v>
      </c>
      <c r="J135" t="s">
        <v>67</v>
      </c>
      <c r="K135" s="2">
        <v>5</v>
      </c>
      <c r="L135" t="s">
        <v>143</v>
      </c>
      <c r="M135" s="3">
        <v>20</v>
      </c>
      <c r="N135" t="s">
        <v>51</v>
      </c>
      <c r="O135" t="s">
        <v>10</v>
      </c>
      <c r="P135" t="s">
        <v>113</v>
      </c>
      <c r="Q135" t="s">
        <v>144</v>
      </c>
      <c r="R135" s="3">
        <v>100</v>
      </c>
      <c r="S135" s="4">
        <v>7</v>
      </c>
      <c r="T135" t="s">
        <v>145</v>
      </c>
      <c r="U135">
        <v>93</v>
      </c>
      <c r="V135">
        <v>1</v>
      </c>
      <c r="W135"/>
    </row>
    <row r="136" spans="1:23" x14ac:dyDescent="0.3">
      <c r="A136">
        <v>135</v>
      </c>
      <c r="B136" s="1">
        <v>45426</v>
      </c>
      <c r="C136" t="s">
        <v>159</v>
      </c>
      <c r="D136">
        <v>2024</v>
      </c>
      <c r="E136" t="s">
        <v>12</v>
      </c>
      <c r="F136" t="s">
        <v>7</v>
      </c>
      <c r="G136" t="s">
        <v>13</v>
      </c>
      <c r="H136" t="s">
        <v>69</v>
      </c>
      <c r="I136" t="s">
        <v>59</v>
      </c>
      <c r="J136" t="s">
        <v>67</v>
      </c>
      <c r="K136" s="2">
        <v>1</v>
      </c>
      <c r="L136" t="s">
        <v>143</v>
      </c>
      <c r="M136" s="3">
        <v>50</v>
      </c>
      <c r="N136" t="s">
        <v>45</v>
      </c>
      <c r="O136" t="s">
        <v>6</v>
      </c>
      <c r="P136" t="s">
        <v>113</v>
      </c>
      <c r="Q136" t="s">
        <v>144</v>
      </c>
      <c r="R136" s="3">
        <v>50</v>
      </c>
      <c r="S136" s="4">
        <v>0</v>
      </c>
      <c r="T136" t="s">
        <v>145</v>
      </c>
      <c r="U136">
        <v>50</v>
      </c>
      <c r="V136">
        <v>1</v>
      </c>
      <c r="W136"/>
    </row>
    <row r="137" spans="1:23" x14ac:dyDescent="0.3">
      <c r="A137">
        <v>136</v>
      </c>
      <c r="B137" s="1">
        <v>45427</v>
      </c>
      <c r="C137" t="s">
        <v>159</v>
      </c>
      <c r="D137">
        <v>2024</v>
      </c>
      <c r="E137" t="s">
        <v>15</v>
      </c>
      <c r="F137" t="s">
        <v>7</v>
      </c>
      <c r="G137" t="s">
        <v>16</v>
      </c>
      <c r="H137" t="s">
        <v>71</v>
      </c>
      <c r="I137" t="s">
        <v>63</v>
      </c>
      <c r="J137" t="s">
        <v>64</v>
      </c>
      <c r="K137" s="2">
        <v>2</v>
      </c>
      <c r="L137" t="s">
        <v>143</v>
      </c>
      <c r="M137" s="3">
        <v>300</v>
      </c>
      <c r="N137" t="s">
        <v>51</v>
      </c>
      <c r="O137" t="s">
        <v>10</v>
      </c>
      <c r="P137" t="s">
        <v>113</v>
      </c>
      <c r="Q137" t="s">
        <v>146</v>
      </c>
      <c r="R137" s="3">
        <v>600</v>
      </c>
      <c r="S137" s="4">
        <v>0</v>
      </c>
      <c r="T137" t="s">
        <v>145</v>
      </c>
      <c r="U137">
        <v>600</v>
      </c>
      <c r="V137">
        <v>1</v>
      </c>
      <c r="W137"/>
    </row>
    <row r="138" spans="1:23" x14ac:dyDescent="0.3">
      <c r="A138">
        <v>137</v>
      </c>
      <c r="B138" s="1">
        <v>45428</v>
      </c>
      <c r="C138" t="s">
        <v>159</v>
      </c>
      <c r="D138">
        <v>2024</v>
      </c>
      <c r="E138" t="s">
        <v>5</v>
      </c>
      <c r="F138" t="s">
        <v>7</v>
      </c>
      <c r="G138" t="s">
        <v>6</v>
      </c>
      <c r="H138" t="s">
        <v>58</v>
      </c>
      <c r="I138" t="s">
        <v>59</v>
      </c>
      <c r="J138" t="s">
        <v>60</v>
      </c>
      <c r="K138" s="2">
        <v>3</v>
      </c>
      <c r="L138" t="s">
        <v>143</v>
      </c>
      <c r="M138" s="3">
        <v>800</v>
      </c>
      <c r="N138" t="s">
        <v>47</v>
      </c>
      <c r="O138" t="s">
        <v>13</v>
      </c>
      <c r="P138" t="s">
        <v>115</v>
      </c>
      <c r="Q138" t="s">
        <v>144</v>
      </c>
      <c r="R138" s="3">
        <v>2400</v>
      </c>
      <c r="S138" s="4">
        <v>96</v>
      </c>
      <c r="T138" t="s">
        <v>150</v>
      </c>
      <c r="U138">
        <v>2304</v>
      </c>
      <c r="V138">
        <v>1</v>
      </c>
      <c r="W138"/>
    </row>
    <row r="139" spans="1:23" x14ac:dyDescent="0.3">
      <c r="A139">
        <v>138</v>
      </c>
      <c r="B139" s="1">
        <v>45429</v>
      </c>
      <c r="C139" t="s">
        <v>159</v>
      </c>
      <c r="D139">
        <v>2024</v>
      </c>
      <c r="E139" t="s">
        <v>9</v>
      </c>
      <c r="F139" t="s">
        <v>7</v>
      </c>
      <c r="G139" t="s">
        <v>10</v>
      </c>
      <c r="H139" t="s">
        <v>62</v>
      </c>
      <c r="I139" t="s">
        <v>63</v>
      </c>
      <c r="J139" t="s">
        <v>64</v>
      </c>
      <c r="K139" s="2"/>
      <c r="L139" t="s">
        <v>147</v>
      </c>
      <c r="M139" s="3">
        <v>150</v>
      </c>
      <c r="N139" t="s">
        <v>49</v>
      </c>
      <c r="O139" t="s">
        <v>6</v>
      </c>
      <c r="P139" t="s">
        <v>117</v>
      </c>
      <c r="Q139" t="s">
        <v>148</v>
      </c>
      <c r="R139" s="3"/>
      <c r="S139" s="4"/>
      <c r="V139">
        <v>1</v>
      </c>
      <c r="W139"/>
    </row>
    <row r="140" spans="1:23" x14ac:dyDescent="0.3">
      <c r="A140">
        <v>139</v>
      </c>
      <c r="B140" s="1">
        <v>45430</v>
      </c>
      <c r="C140" t="s">
        <v>159</v>
      </c>
      <c r="D140">
        <v>2024</v>
      </c>
      <c r="E140" t="s">
        <v>12</v>
      </c>
      <c r="F140" t="s">
        <v>7</v>
      </c>
      <c r="G140" t="s">
        <v>13</v>
      </c>
      <c r="H140" t="s">
        <v>66</v>
      </c>
      <c r="I140" t="s">
        <v>59</v>
      </c>
      <c r="J140" t="s">
        <v>67</v>
      </c>
      <c r="K140" s="2">
        <v>2</v>
      </c>
      <c r="L140" t="s">
        <v>143</v>
      </c>
      <c r="M140" s="3">
        <v>20</v>
      </c>
      <c r="N140" t="s">
        <v>51</v>
      </c>
      <c r="O140" t="s">
        <v>6</v>
      </c>
      <c r="P140" t="s">
        <v>113</v>
      </c>
      <c r="Q140" t="s">
        <v>144</v>
      </c>
      <c r="R140" s="3">
        <v>40</v>
      </c>
      <c r="S140" s="4">
        <v>2</v>
      </c>
      <c r="T140" t="s">
        <v>145</v>
      </c>
      <c r="U140">
        <v>38</v>
      </c>
      <c r="V140">
        <v>1</v>
      </c>
      <c r="W140"/>
    </row>
    <row r="141" spans="1:23" x14ac:dyDescent="0.3">
      <c r="A141">
        <v>140</v>
      </c>
      <c r="B141" s="1">
        <v>45431</v>
      </c>
      <c r="C141" t="s">
        <v>159</v>
      </c>
      <c r="D141">
        <v>2024</v>
      </c>
      <c r="E141" t="s">
        <v>15</v>
      </c>
      <c r="F141" t="s">
        <v>7</v>
      </c>
      <c r="G141" t="s">
        <v>16</v>
      </c>
      <c r="H141" t="s">
        <v>69</v>
      </c>
      <c r="I141" t="s">
        <v>59</v>
      </c>
      <c r="J141" t="s">
        <v>67</v>
      </c>
      <c r="K141" s="2">
        <v>4</v>
      </c>
      <c r="L141" t="s">
        <v>143</v>
      </c>
      <c r="M141" s="3">
        <v>50</v>
      </c>
      <c r="N141" t="s">
        <v>45</v>
      </c>
      <c r="O141" t="s">
        <v>16</v>
      </c>
      <c r="P141" t="s">
        <v>113</v>
      </c>
      <c r="Q141" t="s">
        <v>146</v>
      </c>
      <c r="R141" s="3">
        <v>200</v>
      </c>
      <c r="S141" s="4">
        <v>12</v>
      </c>
      <c r="T141" t="s">
        <v>145</v>
      </c>
      <c r="U141">
        <v>188</v>
      </c>
      <c r="V141">
        <v>1</v>
      </c>
      <c r="W141"/>
    </row>
    <row r="142" spans="1:23" x14ac:dyDescent="0.3">
      <c r="A142">
        <v>141</v>
      </c>
      <c r="B142" s="1">
        <v>45432</v>
      </c>
      <c r="C142" t="s">
        <v>159</v>
      </c>
      <c r="D142">
        <v>2024</v>
      </c>
      <c r="E142" t="s">
        <v>15</v>
      </c>
      <c r="F142" t="s">
        <v>7</v>
      </c>
      <c r="G142" t="s">
        <v>16</v>
      </c>
      <c r="H142" t="s">
        <v>71</v>
      </c>
      <c r="I142" t="s">
        <v>63</v>
      </c>
      <c r="J142" t="s">
        <v>64</v>
      </c>
      <c r="K142" s="2">
        <v>1</v>
      </c>
      <c r="L142" t="s">
        <v>143</v>
      </c>
      <c r="M142" s="3">
        <v>300</v>
      </c>
      <c r="N142" t="s">
        <v>51</v>
      </c>
      <c r="O142" t="s">
        <v>6</v>
      </c>
      <c r="P142" t="s">
        <v>113</v>
      </c>
      <c r="Q142" t="s">
        <v>144</v>
      </c>
      <c r="R142" s="3">
        <v>300</v>
      </c>
      <c r="S142" s="4">
        <v>0</v>
      </c>
      <c r="T142" t="s">
        <v>145</v>
      </c>
      <c r="U142">
        <v>300</v>
      </c>
      <c r="V142">
        <v>1</v>
      </c>
      <c r="W142"/>
    </row>
    <row r="143" spans="1:23" x14ac:dyDescent="0.3">
      <c r="A143">
        <v>142</v>
      </c>
      <c r="B143" s="1">
        <v>45433</v>
      </c>
      <c r="C143" t="s">
        <v>159</v>
      </c>
      <c r="D143">
        <v>2024</v>
      </c>
      <c r="E143" t="s">
        <v>5</v>
      </c>
      <c r="F143" t="s">
        <v>7</v>
      </c>
      <c r="G143" t="s">
        <v>6</v>
      </c>
      <c r="H143" t="s">
        <v>58</v>
      </c>
      <c r="I143" t="s">
        <v>59</v>
      </c>
      <c r="J143" t="s">
        <v>60</v>
      </c>
      <c r="K143" s="2">
        <v>5</v>
      </c>
      <c r="L143" t="s">
        <v>143</v>
      </c>
      <c r="M143" s="3">
        <v>800</v>
      </c>
      <c r="N143" t="s">
        <v>47</v>
      </c>
      <c r="O143" t="s">
        <v>10</v>
      </c>
      <c r="P143" t="s">
        <v>115</v>
      </c>
      <c r="Q143" t="s">
        <v>144</v>
      </c>
      <c r="R143" s="3">
        <v>4000</v>
      </c>
      <c r="S143" s="4">
        <v>280</v>
      </c>
      <c r="T143" t="s">
        <v>150</v>
      </c>
      <c r="U143">
        <v>3720</v>
      </c>
      <c r="V143">
        <v>1</v>
      </c>
      <c r="W143"/>
    </row>
    <row r="144" spans="1:23" x14ac:dyDescent="0.3">
      <c r="A144">
        <v>143</v>
      </c>
      <c r="B144" s="1">
        <v>45434</v>
      </c>
      <c r="C144" t="s">
        <v>159</v>
      </c>
      <c r="D144">
        <v>2024</v>
      </c>
      <c r="E144" t="s">
        <v>9</v>
      </c>
      <c r="F144" t="s">
        <v>7</v>
      </c>
      <c r="G144" t="s">
        <v>10</v>
      </c>
      <c r="H144" t="s">
        <v>73</v>
      </c>
      <c r="I144" t="s">
        <v>59</v>
      </c>
      <c r="J144" t="s">
        <v>74</v>
      </c>
      <c r="K144" s="2">
        <v>2</v>
      </c>
      <c r="L144" t="s">
        <v>143</v>
      </c>
      <c r="M144" s="3">
        <v>200</v>
      </c>
      <c r="N144" t="s">
        <v>49</v>
      </c>
      <c r="O144" t="s">
        <v>10</v>
      </c>
      <c r="P144" t="s">
        <v>117</v>
      </c>
      <c r="Q144" t="s">
        <v>146</v>
      </c>
      <c r="R144" s="3">
        <v>400</v>
      </c>
      <c r="S144" s="4">
        <v>0</v>
      </c>
      <c r="T144" t="s">
        <v>145</v>
      </c>
      <c r="U144">
        <v>400</v>
      </c>
      <c r="V144">
        <v>1</v>
      </c>
      <c r="W144"/>
    </row>
    <row r="145" spans="1:23" x14ac:dyDescent="0.3">
      <c r="A145">
        <v>144</v>
      </c>
      <c r="B145" s="1">
        <v>45435</v>
      </c>
      <c r="C145" t="s">
        <v>159</v>
      </c>
      <c r="D145">
        <v>2024</v>
      </c>
      <c r="E145" t="s">
        <v>12</v>
      </c>
      <c r="F145" t="s">
        <v>7</v>
      </c>
      <c r="G145" t="s">
        <v>13</v>
      </c>
      <c r="H145" t="s">
        <v>62</v>
      </c>
      <c r="I145" t="s">
        <v>63</v>
      </c>
      <c r="J145" t="s">
        <v>64</v>
      </c>
      <c r="K145" s="2">
        <v>3</v>
      </c>
      <c r="L145" t="s">
        <v>143</v>
      </c>
      <c r="M145" s="3">
        <v>150</v>
      </c>
      <c r="N145" t="s">
        <v>51</v>
      </c>
      <c r="O145" t="s">
        <v>6</v>
      </c>
      <c r="P145" t="s">
        <v>113</v>
      </c>
      <c r="Q145" t="s">
        <v>144</v>
      </c>
      <c r="R145" s="3">
        <v>450</v>
      </c>
      <c r="S145" s="4">
        <v>22.5</v>
      </c>
      <c r="T145" t="s">
        <v>145</v>
      </c>
      <c r="U145">
        <v>427.5</v>
      </c>
      <c r="V145">
        <v>1</v>
      </c>
      <c r="W145"/>
    </row>
    <row r="146" spans="1:23" x14ac:dyDescent="0.3">
      <c r="A146">
        <v>145</v>
      </c>
      <c r="B146" s="1">
        <v>45436</v>
      </c>
      <c r="C146" t="s">
        <v>159</v>
      </c>
      <c r="D146">
        <v>2024</v>
      </c>
      <c r="E146" t="s">
        <v>15</v>
      </c>
      <c r="F146" t="s">
        <v>7</v>
      </c>
      <c r="G146" t="s">
        <v>16</v>
      </c>
      <c r="H146" t="s">
        <v>66</v>
      </c>
      <c r="I146" t="s">
        <v>59</v>
      </c>
      <c r="J146" t="s">
        <v>67</v>
      </c>
      <c r="K146" s="2">
        <v>1</v>
      </c>
      <c r="L146" t="s">
        <v>143</v>
      </c>
      <c r="M146" s="3">
        <v>20</v>
      </c>
      <c r="N146" t="s">
        <v>45</v>
      </c>
      <c r="O146" t="s">
        <v>16</v>
      </c>
      <c r="P146" t="s">
        <v>113</v>
      </c>
      <c r="Q146" t="s">
        <v>144</v>
      </c>
      <c r="R146" s="3">
        <v>20</v>
      </c>
      <c r="S146" s="4">
        <v>0</v>
      </c>
      <c r="T146" t="s">
        <v>145</v>
      </c>
      <c r="U146">
        <v>20</v>
      </c>
      <c r="V146">
        <v>1</v>
      </c>
      <c r="W146"/>
    </row>
    <row r="147" spans="1:23" x14ac:dyDescent="0.3">
      <c r="A147">
        <v>146</v>
      </c>
      <c r="B147" s="1">
        <v>45437</v>
      </c>
      <c r="C147" t="s">
        <v>159</v>
      </c>
      <c r="D147">
        <v>2024</v>
      </c>
      <c r="E147" t="s">
        <v>5</v>
      </c>
      <c r="F147" t="s">
        <v>7</v>
      </c>
      <c r="G147" t="s">
        <v>6</v>
      </c>
      <c r="H147" t="s">
        <v>69</v>
      </c>
      <c r="I147" t="s">
        <v>59</v>
      </c>
      <c r="J147" t="s">
        <v>67</v>
      </c>
      <c r="K147" s="2">
        <v>2</v>
      </c>
      <c r="L147" t="s">
        <v>143</v>
      </c>
      <c r="M147" s="3">
        <v>50</v>
      </c>
      <c r="N147" t="s">
        <v>51</v>
      </c>
      <c r="O147" t="s">
        <v>13</v>
      </c>
      <c r="P147" t="s">
        <v>113</v>
      </c>
      <c r="Q147" t="s">
        <v>146</v>
      </c>
      <c r="R147" s="3">
        <v>100</v>
      </c>
      <c r="S147" s="4">
        <v>4</v>
      </c>
      <c r="T147" t="s">
        <v>145</v>
      </c>
      <c r="U147">
        <v>96</v>
      </c>
      <c r="V147">
        <v>1</v>
      </c>
      <c r="W147"/>
    </row>
    <row r="148" spans="1:23" x14ac:dyDescent="0.3">
      <c r="A148">
        <v>147</v>
      </c>
      <c r="B148" s="1">
        <v>45438</v>
      </c>
      <c r="C148" t="s">
        <v>159</v>
      </c>
      <c r="D148">
        <v>2024</v>
      </c>
      <c r="E148" t="s">
        <v>9</v>
      </c>
      <c r="F148" t="s">
        <v>7</v>
      </c>
      <c r="G148" t="s">
        <v>10</v>
      </c>
      <c r="H148" t="s">
        <v>71</v>
      </c>
      <c r="I148" t="s">
        <v>63</v>
      </c>
      <c r="J148" t="s">
        <v>64</v>
      </c>
      <c r="K148" s="2">
        <v>4</v>
      </c>
      <c r="L148" t="s">
        <v>143</v>
      </c>
      <c r="M148" s="3">
        <v>300</v>
      </c>
      <c r="N148" t="s">
        <v>47</v>
      </c>
      <c r="O148" t="s">
        <v>6</v>
      </c>
      <c r="P148" t="s">
        <v>115</v>
      </c>
      <c r="Q148" t="s">
        <v>144</v>
      </c>
      <c r="R148" s="3">
        <v>1200</v>
      </c>
      <c r="S148" s="4">
        <v>60</v>
      </c>
      <c r="T148" t="s">
        <v>149</v>
      </c>
      <c r="U148">
        <v>1140</v>
      </c>
      <c r="V148">
        <v>1</v>
      </c>
      <c r="W148"/>
    </row>
    <row r="149" spans="1:23" x14ac:dyDescent="0.3">
      <c r="A149">
        <v>148</v>
      </c>
      <c r="B149" s="1">
        <v>45439</v>
      </c>
      <c r="C149" t="s">
        <v>159</v>
      </c>
      <c r="D149">
        <v>2024</v>
      </c>
      <c r="E149" t="s">
        <v>12</v>
      </c>
      <c r="F149" t="s">
        <v>7</v>
      </c>
      <c r="G149" t="s">
        <v>13</v>
      </c>
      <c r="H149" t="s">
        <v>58</v>
      </c>
      <c r="I149" t="s">
        <v>59</v>
      </c>
      <c r="J149" t="s">
        <v>60</v>
      </c>
      <c r="K149" s="2"/>
      <c r="L149" t="s">
        <v>147</v>
      </c>
      <c r="M149" s="3">
        <v>800</v>
      </c>
      <c r="N149" t="s">
        <v>49</v>
      </c>
      <c r="O149" t="s">
        <v>10</v>
      </c>
      <c r="P149" t="s">
        <v>117</v>
      </c>
      <c r="Q149" t="s">
        <v>148</v>
      </c>
      <c r="R149" s="3"/>
      <c r="S149" s="4"/>
      <c r="V149">
        <v>1</v>
      </c>
      <c r="W149"/>
    </row>
    <row r="150" spans="1:23" x14ac:dyDescent="0.3">
      <c r="A150">
        <v>149</v>
      </c>
      <c r="B150" s="1">
        <v>45440</v>
      </c>
      <c r="C150" t="s">
        <v>159</v>
      </c>
      <c r="D150">
        <v>2024</v>
      </c>
      <c r="E150" t="s">
        <v>15</v>
      </c>
      <c r="F150" t="s">
        <v>7</v>
      </c>
      <c r="G150" t="s">
        <v>16</v>
      </c>
      <c r="H150" t="s">
        <v>62</v>
      </c>
      <c r="I150" t="s">
        <v>63</v>
      </c>
      <c r="J150" t="s">
        <v>64</v>
      </c>
      <c r="K150" s="2">
        <v>2</v>
      </c>
      <c r="L150" t="s">
        <v>143</v>
      </c>
      <c r="M150" s="3">
        <v>150</v>
      </c>
      <c r="N150" t="s">
        <v>51</v>
      </c>
      <c r="O150" t="s">
        <v>6</v>
      </c>
      <c r="P150" t="s">
        <v>113</v>
      </c>
      <c r="Q150" t="s">
        <v>144</v>
      </c>
      <c r="R150" s="3">
        <v>300</v>
      </c>
      <c r="S150" s="4">
        <v>15</v>
      </c>
      <c r="T150" t="s">
        <v>145</v>
      </c>
      <c r="U150">
        <v>285</v>
      </c>
      <c r="V150">
        <v>1</v>
      </c>
      <c r="W150"/>
    </row>
    <row r="151" spans="1:23" x14ac:dyDescent="0.3">
      <c r="A151">
        <v>150</v>
      </c>
      <c r="B151" s="1">
        <v>45441</v>
      </c>
      <c r="C151" t="s">
        <v>159</v>
      </c>
      <c r="D151">
        <v>2024</v>
      </c>
      <c r="E151" t="s">
        <v>5</v>
      </c>
      <c r="F151" t="s">
        <v>7</v>
      </c>
      <c r="G151" t="s">
        <v>6</v>
      </c>
      <c r="H151" t="s">
        <v>66</v>
      </c>
      <c r="I151" t="s">
        <v>59</v>
      </c>
      <c r="J151" t="s">
        <v>67</v>
      </c>
      <c r="K151" s="2">
        <v>5</v>
      </c>
      <c r="L151" t="s">
        <v>143</v>
      </c>
      <c r="M151" s="3">
        <v>20</v>
      </c>
      <c r="N151" t="s">
        <v>45</v>
      </c>
      <c r="O151" t="s">
        <v>10</v>
      </c>
      <c r="P151" t="s">
        <v>113</v>
      </c>
      <c r="Q151" t="s">
        <v>146</v>
      </c>
      <c r="R151" s="3">
        <v>100</v>
      </c>
      <c r="S151" s="4">
        <v>7</v>
      </c>
      <c r="T151" t="s">
        <v>145</v>
      </c>
      <c r="U151">
        <v>93</v>
      </c>
      <c r="V151">
        <v>1</v>
      </c>
      <c r="W151"/>
    </row>
    <row r="152" spans="1:23" x14ac:dyDescent="0.3">
      <c r="A152">
        <v>151</v>
      </c>
      <c r="B152" s="1">
        <v>45442</v>
      </c>
      <c r="C152" t="s">
        <v>159</v>
      </c>
      <c r="D152">
        <v>2024</v>
      </c>
      <c r="E152" t="s">
        <v>12</v>
      </c>
      <c r="F152" t="s">
        <v>7</v>
      </c>
      <c r="G152" t="s">
        <v>13</v>
      </c>
      <c r="H152" t="s">
        <v>69</v>
      </c>
      <c r="I152" t="s">
        <v>59</v>
      </c>
      <c r="J152" t="s">
        <v>67</v>
      </c>
      <c r="K152" s="2">
        <v>1</v>
      </c>
      <c r="L152" t="s">
        <v>143</v>
      </c>
      <c r="M152" s="3">
        <v>50</v>
      </c>
      <c r="N152" t="s">
        <v>51</v>
      </c>
      <c r="O152" t="s">
        <v>6</v>
      </c>
      <c r="P152" t="s">
        <v>113</v>
      </c>
      <c r="Q152" t="s">
        <v>144</v>
      </c>
      <c r="R152" s="3">
        <v>50</v>
      </c>
      <c r="S152" s="4">
        <v>0</v>
      </c>
      <c r="T152" t="s">
        <v>145</v>
      </c>
      <c r="U152">
        <v>50</v>
      </c>
      <c r="V152">
        <v>1</v>
      </c>
      <c r="W152"/>
    </row>
    <row r="153" spans="1:23" x14ac:dyDescent="0.3">
      <c r="A153">
        <v>152</v>
      </c>
      <c r="B153" s="1">
        <v>45443</v>
      </c>
      <c r="C153" t="s">
        <v>159</v>
      </c>
      <c r="D153">
        <v>2024</v>
      </c>
      <c r="E153" t="s">
        <v>15</v>
      </c>
      <c r="F153" t="s">
        <v>7</v>
      </c>
      <c r="G153" t="s">
        <v>16</v>
      </c>
      <c r="H153" t="s">
        <v>71</v>
      </c>
      <c r="I153" t="s">
        <v>63</v>
      </c>
      <c r="J153" t="s">
        <v>64</v>
      </c>
      <c r="K153" s="2">
        <v>3</v>
      </c>
      <c r="L153" t="s">
        <v>143</v>
      </c>
      <c r="M153" s="3">
        <v>300</v>
      </c>
      <c r="N153" t="s">
        <v>47</v>
      </c>
      <c r="O153" t="s">
        <v>10</v>
      </c>
      <c r="P153" t="s">
        <v>115</v>
      </c>
      <c r="Q153" t="s">
        <v>146</v>
      </c>
      <c r="R153" s="3">
        <v>900</v>
      </c>
      <c r="S153" s="4">
        <v>63</v>
      </c>
      <c r="T153" t="s">
        <v>145</v>
      </c>
      <c r="U153">
        <v>837</v>
      </c>
      <c r="V153">
        <v>1</v>
      </c>
      <c r="W153"/>
    </row>
    <row r="154" spans="1:23" x14ac:dyDescent="0.3">
      <c r="A154">
        <v>153</v>
      </c>
      <c r="B154" s="1">
        <v>45297</v>
      </c>
      <c r="C154" t="s">
        <v>153</v>
      </c>
      <c r="D154">
        <v>2024</v>
      </c>
      <c r="E154" t="s">
        <v>5</v>
      </c>
      <c r="F154" t="s">
        <v>7</v>
      </c>
      <c r="G154" t="s">
        <v>6</v>
      </c>
      <c r="H154" t="s">
        <v>58</v>
      </c>
      <c r="I154" t="s">
        <v>59</v>
      </c>
      <c r="J154" t="s">
        <v>60</v>
      </c>
      <c r="K154" s="2">
        <v>2</v>
      </c>
      <c r="L154" t="s">
        <v>143</v>
      </c>
      <c r="M154" s="3">
        <v>800</v>
      </c>
      <c r="N154" t="s">
        <v>49</v>
      </c>
      <c r="O154" t="s">
        <v>13</v>
      </c>
      <c r="P154" t="s">
        <v>117</v>
      </c>
      <c r="Q154" t="s">
        <v>144</v>
      </c>
      <c r="R154" s="3">
        <v>1600</v>
      </c>
      <c r="S154" s="4">
        <v>64</v>
      </c>
      <c r="T154" t="s">
        <v>149</v>
      </c>
      <c r="U154">
        <v>1536</v>
      </c>
      <c r="V154">
        <v>1</v>
      </c>
      <c r="W154"/>
    </row>
    <row r="155" spans="1:23" x14ac:dyDescent="0.3">
      <c r="A155">
        <v>154</v>
      </c>
      <c r="B155" s="1">
        <v>45328</v>
      </c>
      <c r="C155" t="s">
        <v>157</v>
      </c>
      <c r="D155">
        <v>2024</v>
      </c>
      <c r="E155" t="s">
        <v>9</v>
      </c>
      <c r="F155" t="s">
        <v>7</v>
      </c>
      <c r="G155" t="s">
        <v>10</v>
      </c>
      <c r="H155" t="s">
        <v>62</v>
      </c>
      <c r="I155" t="s">
        <v>63</v>
      </c>
      <c r="J155" t="s">
        <v>64</v>
      </c>
      <c r="K155" s="2">
        <v>1</v>
      </c>
      <c r="L155" t="s">
        <v>143</v>
      </c>
      <c r="M155" s="3">
        <v>150</v>
      </c>
      <c r="N155" t="s">
        <v>51</v>
      </c>
      <c r="O155" t="s">
        <v>6</v>
      </c>
      <c r="P155" t="s">
        <v>113</v>
      </c>
      <c r="Q155" t="s">
        <v>144</v>
      </c>
      <c r="R155" s="3">
        <v>150</v>
      </c>
      <c r="S155" s="4">
        <v>0</v>
      </c>
      <c r="T155" t="s">
        <v>145</v>
      </c>
      <c r="U155">
        <v>150</v>
      </c>
      <c r="V155">
        <v>1</v>
      </c>
      <c r="W155"/>
    </row>
    <row r="156" spans="1:23" x14ac:dyDescent="0.3">
      <c r="A156">
        <v>155</v>
      </c>
      <c r="B156" s="1">
        <v>45357</v>
      </c>
      <c r="C156" t="s">
        <v>158</v>
      </c>
      <c r="D156">
        <v>2024</v>
      </c>
      <c r="E156" t="s">
        <v>12</v>
      </c>
      <c r="F156" t="s">
        <v>7</v>
      </c>
      <c r="G156" t="s">
        <v>13</v>
      </c>
      <c r="H156" t="s">
        <v>66</v>
      </c>
      <c r="I156" t="s">
        <v>59</v>
      </c>
      <c r="J156" t="s">
        <v>67</v>
      </c>
      <c r="K156" s="2"/>
      <c r="L156" t="s">
        <v>147</v>
      </c>
      <c r="M156" s="3">
        <v>20</v>
      </c>
      <c r="N156" t="s">
        <v>45</v>
      </c>
      <c r="O156" t="s">
        <v>16</v>
      </c>
      <c r="P156" t="s">
        <v>113</v>
      </c>
      <c r="Q156" t="s">
        <v>148</v>
      </c>
      <c r="R156" s="3"/>
      <c r="S156" s="4"/>
      <c r="V156">
        <v>1</v>
      </c>
      <c r="W156"/>
    </row>
    <row r="157" spans="1:23" x14ac:dyDescent="0.3">
      <c r="A157">
        <v>156</v>
      </c>
      <c r="B157" s="1">
        <v>45388</v>
      </c>
      <c r="C157" t="s">
        <v>156</v>
      </c>
      <c r="D157">
        <v>2024</v>
      </c>
      <c r="E157" t="s">
        <v>15</v>
      </c>
      <c r="F157" t="s">
        <v>7</v>
      </c>
      <c r="G157" t="s">
        <v>16</v>
      </c>
      <c r="H157" t="s">
        <v>69</v>
      </c>
      <c r="I157" t="s">
        <v>59</v>
      </c>
      <c r="J157" t="s">
        <v>67</v>
      </c>
      <c r="K157" s="2">
        <v>5</v>
      </c>
      <c r="L157" t="s">
        <v>143</v>
      </c>
      <c r="M157" s="3">
        <v>50</v>
      </c>
      <c r="N157" t="s">
        <v>51</v>
      </c>
      <c r="O157" t="s">
        <v>6</v>
      </c>
      <c r="P157" t="s">
        <v>113</v>
      </c>
      <c r="Q157" t="s">
        <v>146</v>
      </c>
      <c r="R157" s="3">
        <v>250</v>
      </c>
      <c r="S157" s="4">
        <v>12.5</v>
      </c>
      <c r="T157" t="s">
        <v>145</v>
      </c>
      <c r="U157">
        <v>237.5</v>
      </c>
      <c r="V157">
        <v>1</v>
      </c>
      <c r="W157"/>
    </row>
    <row r="158" spans="1:23" x14ac:dyDescent="0.3">
      <c r="A158">
        <v>157</v>
      </c>
      <c r="B158" s="1">
        <v>45418</v>
      </c>
      <c r="C158" t="s">
        <v>159</v>
      </c>
      <c r="D158">
        <v>2024</v>
      </c>
      <c r="E158" t="s">
        <v>5</v>
      </c>
      <c r="F158" t="s">
        <v>7</v>
      </c>
      <c r="G158" t="s">
        <v>6</v>
      </c>
      <c r="H158" t="s">
        <v>71</v>
      </c>
      <c r="I158" t="s">
        <v>63</v>
      </c>
      <c r="J158" t="s">
        <v>64</v>
      </c>
      <c r="K158" s="2">
        <v>2</v>
      </c>
      <c r="L158" t="s">
        <v>143</v>
      </c>
      <c r="M158" s="3">
        <v>300</v>
      </c>
      <c r="N158" t="s">
        <v>47</v>
      </c>
      <c r="O158" t="s">
        <v>10</v>
      </c>
      <c r="P158" t="s">
        <v>115</v>
      </c>
      <c r="Q158" t="s">
        <v>144</v>
      </c>
      <c r="R158" s="3">
        <v>600</v>
      </c>
      <c r="S158" s="4">
        <v>0</v>
      </c>
      <c r="T158" t="s">
        <v>145</v>
      </c>
      <c r="U158">
        <v>600</v>
      </c>
      <c r="V158">
        <v>1</v>
      </c>
      <c r="W158"/>
    </row>
    <row r="159" spans="1:23" x14ac:dyDescent="0.3">
      <c r="A159">
        <v>158</v>
      </c>
      <c r="B159" s="1">
        <v>45449</v>
      </c>
      <c r="C159" t="s">
        <v>164</v>
      </c>
      <c r="D159">
        <v>2024</v>
      </c>
      <c r="E159" t="s">
        <v>9</v>
      </c>
      <c r="F159" t="s">
        <v>7</v>
      </c>
      <c r="G159" t="s">
        <v>10</v>
      </c>
      <c r="H159" t="s">
        <v>58</v>
      </c>
      <c r="I159" t="s">
        <v>59</v>
      </c>
      <c r="J159" t="s">
        <v>60</v>
      </c>
      <c r="K159" s="2">
        <v>3</v>
      </c>
      <c r="L159" t="s">
        <v>143</v>
      </c>
      <c r="M159" s="3">
        <v>800</v>
      </c>
      <c r="N159" t="s">
        <v>49</v>
      </c>
      <c r="O159" t="s">
        <v>10</v>
      </c>
      <c r="P159" t="s">
        <v>117</v>
      </c>
      <c r="Q159" t="s">
        <v>144</v>
      </c>
      <c r="R159" s="3">
        <v>2400</v>
      </c>
      <c r="S159" s="4">
        <v>168</v>
      </c>
      <c r="T159" t="s">
        <v>150</v>
      </c>
      <c r="U159">
        <v>2232</v>
      </c>
      <c r="V159">
        <v>1</v>
      </c>
      <c r="W159"/>
    </row>
    <row r="160" spans="1:23" x14ac:dyDescent="0.3">
      <c r="A160">
        <v>159</v>
      </c>
      <c r="B160" s="1">
        <v>45479</v>
      </c>
      <c r="C160" t="s">
        <v>160</v>
      </c>
      <c r="D160">
        <v>2024</v>
      </c>
      <c r="E160" t="s">
        <v>12</v>
      </c>
      <c r="F160" t="s">
        <v>7</v>
      </c>
      <c r="G160" t="s">
        <v>13</v>
      </c>
      <c r="H160" t="s">
        <v>73</v>
      </c>
      <c r="I160" t="s">
        <v>59</v>
      </c>
      <c r="J160" t="s">
        <v>74</v>
      </c>
      <c r="K160" s="2">
        <v>2</v>
      </c>
      <c r="L160" t="s">
        <v>143</v>
      </c>
      <c r="M160" s="3">
        <v>200</v>
      </c>
      <c r="N160" t="s">
        <v>51</v>
      </c>
      <c r="O160" t="s">
        <v>13</v>
      </c>
      <c r="P160" t="s">
        <v>113</v>
      </c>
      <c r="Q160" t="s">
        <v>146</v>
      </c>
      <c r="R160" s="3">
        <v>400</v>
      </c>
      <c r="S160" s="4">
        <v>16</v>
      </c>
      <c r="T160" t="s">
        <v>145</v>
      </c>
      <c r="U160">
        <v>384</v>
      </c>
      <c r="V160">
        <v>1</v>
      </c>
      <c r="W160"/>
    </row>
    <row r="161" spans="1:23" x14ac:dyDescent="0.3">
      <c r="A161">
        <v>160</v>
      </c>
      <c r="B161" s="1">
        <v>45510</v>
      </c>
      <c r="C161" t="s">
        <v>154</v>
      </c>
      <c r="D161">
        <v>2024</v>
      </c>
      <c r="E161" t="s">
        <v>15</v>
      </c>
      <c r="F161" t="s">
        <v>7</v>
      </c>
      <c r="G161" t="s">
        <v>16</v>
      </c>
      <c r="H161" t="s">
        <v>62</v>
      </c>
      <c r="I161" t="s">
        <v>63</v>
      </c>
      <c r="J161" t="s">
        <v>64</v>
      </c>
      <c r="K161" s="2">
        <v>4</v>
      </c>
      <c r="L161" t="s">
        <v>143</v>
      </c>
      <c r="M161" s="3">
        <v>150</v>
      </c>
      <c r="N161" t="s">
        <v>45</v>
      </c>
      <c r="O161" t="s">
        <v>6</v>
      </c>
      <c r="P161" t="s">
        <v>113</v>
      </c>
      <c r="Q161" t="s">
        <v>144</v>
      </c>
      <c r="R161" s="3">
        <v>600</v>
      </c>
      <c r="S161" s="4">
        <v>30</v>
      </c>
      <c r="T161" t="s">
        <v>145</v>
      </c>
      <c r="U161">
        <v>570</v>
      </c>
      <c r="V161">
        <v>1</v>
      </c>
      <c r="W161"/>
    </row>
    <row r="162" spans="1:23" x14ac:dyDescent="0.3">
      <c r="A162">
        <v>161</v>
      </c>
      <c r="B162" s="1">
        <v>45541</v>
      </c>
      <c r="C162" t="s">
        <v>161</v>
      </c>
      <c r="D162">
        <v>2024</v>
      </c>
      <c r="E162" t="s">
        <v>5</v>
      </c>
      <c r="F162" t="s">
        <v>7</v>
      </c>
      <c r="G162" t="s">
        <v>6</v>
      </c>
      <c r="H162" t="s">
        <v>66</v>
      </c>
      <c r="I162" t="s">
        <v>59</v>
      </c>
      <c r="J162" t="s">
        <v>67</v>
      </c>
      <c r="K162" s="2">
        <v>1</v>
      </c>
      <c r="L162" t="s">
        <v>143</v>
      </c>
      <c r="M162" s="3">
        <v>20</v>
      </c>
      <c r="N162" t="s">
        <v>51</v>
      </c>
      <c r="O162" t="s">
        <v>6</v>
      </c>
      <c r="P162" t="s">
        <v>113</v>
      </c>
      <c r="Q162" t="s">
        <v>144</v>
      </c>
      <c r="R162" s="3">
        <v>20</v>
      </c>
      <c r="S162" s="4">
        <v>0</v>
      </c>
      <c r="T162" t="s">
        <v>145</v>
      </c>
      <c r="U162">
        <v>20</v>
      </c>
      <c r="V162">
        <v>1</v>
      </c>
      <c r="W162"/>
    </row>
    <row r="163" spans="1:23" x14ac:dyDescent="0.3">
      <c r="A163">
        <v>162</v>
      </c>
      <c r="B163" s="1">
        <v>45571</v>
      </c>
      <c r="C163" t="s">
        <v>155</v>
      </c>
      <c r="D163">
        <v>2024</v>
      </c>
      <c r="E163" t="s">
        <v>9</v>
      </c>
      <c r="F163" t="s">
        <v>7</v>
      </c>
      <c r="G163" t="s">
        <v>10</v>
      </c>
      <c r="H163" t="s">
        <v>69</v>
      </c>
      <c r="I163" t="s">
        <v>59</v>
      </c>
      <c r="J163" t="s">
        <v>67</v>
      </c>
      <c r="K163" s="2">
        <v>2</v>
      </c>
      <c r="L163" t="s">
        <v>143</v>
      </c>
      <c r="M163" s="3">
        <v>50</v>
      </c>
      <c r="N163" t="s">
        <v>47</v>
      </c>
      <c r="O163" t="s">
        <v>10</v>
      </c>
      <c r="P163" t="s">
        <v>115</v>
      </c>
      <c r="Q163" t="s">
        <v>144</v>
      </c>
      <c r="R163" s="3">
        <v>100</v>
      </c>
      <c r="S163" s="4">
        <v>0</v>
      </c>
      <c r="T163" t="s">
        <v>145</v>
      </c>
      <c r="U163">
        <v>100</v>
      </c>
      <c r="V163">
        <v>1</v>
      </c>
      <c r="W163"/>
    </row>
    <row r="164" spans="1:23" x14ac:dyDescent="0.3">
      <c r="A164">
        <v>163</v>
      </c>
      <c r="B164" s="1">
        <v>45602</v>
      </c>
      <c r="C164" t="s">
        <v>162</v>
      </c>
      <c r="D164">
        <v>2024</v>
      </c>
      <c r="E164" t="s">
        <v>12</v>
      </c>
      <c r="F164" t="s">
        <v>7</v>
      </c>
      <c r="G164" t="s">
        <v>13</v>
      </c>
      <c r="H164" t="s">
        <v>71</v>
      </c>
      <c r="I164" t="s">
        <v>63</v>
      </c>
      <c r="J164" t="s">
        <v>64</v>
      </c>
      <c r="K164" s="2">
        <v>5</v>
      </c>
      <c r="L164" t="s">
        <v>143</v>
      </c>
      <c r="M164" s="3">
        <v>300</v>
      </c>
      <c r="N164" t="s">
        <v>49</v>
      </c>
      <c r="O164" t="s">
        <v>10</v>
      </c>
      <c r="P164" t="s">
        <v>117</v>
      </c>
      <c r="Q164" t="s">
        <v>146</v>
      </c>
      <c r="R164" s="3">
        <v>1500</v>
      </c>
      <c r="S164" s="4">
        <v>105</v>
      </c>
      <c r="T164" t="s">
        <v>149</v>
      </c>
      <c r="U164">
        <v>1395</v>
      </c>
      <c r="V164">
        <v>1</v>
      </c>
      <c r="W164"/>
    </row>
    <row r="165" spans="1:23" x14ac:dyDescent="0.3">
      <c r="A165">
        <v>164</v>
      </c>
      <c r="B165" s="1">
        <v>45632</v>
      </c>
      <c r="C165" t="s">
        <v>163</v>
      </c>
      <c r="D165">
        <v>2024</v>
      </c>
      <c r="E165" t="s">
        <v>15</v>
      </c>
      <c r="F165" t="s">
        <v>7</v>
      </c>
      <c r="G165" t="s">
        <v>16</v>
      </c>
      <c r="H165" t="s">
        <v>58</v>
      </c>
      <c r="I165" t="s">
        <v>59</v>
      </c>
      <c r="J165" t="s">
        <v>60</v>
      </c>
      <c r="K165" s="2">
        <v>2</v>
      </c>
      <c r="L165" t="s">
        <v>143</v>
      </c>
      <c r="M165" s="3">
        <v>800</v>
      </c>
      <c r="N165" t="s">
        <v>51</v>
      </c>
      <c r="O165" t="s">
        <v>13</v>
      </c>
      <c r="P165" t="s">
        <v>113</v>
      </c>
      <c r="Q165" t="s">
        <v>144</v>
      </c>
      <c r="R165" s="3">
        <v>1600</v>
      </c>
      <c r="S165" s="4">
        <v>64</v>
      </c>
      <c r="T165" t="s">
        <v>149</v>
      </c>
      <c r="U165">
        <v>1536</v>
      </c>
      <c r="V165">
        <v>1</v>
      </c>
      <c r="W165"/>
    </row>
    <row r="166" spans="1:23" x14ac:dyDescent="0.3">
      <c r="A166">
        <v>165</v>
      </c>
      <c r="B166" s="1">
        <v>45456</v>
      </c>
      <c r="C166" t="s">
        <v>164</v>
      </c>
      <c r="D166">
        <v>2024</v>
      </c>
      <c r="E166" t="s">
        <v>5</v>
      </c>
      <c r="F166" t="s">
        <v>7</v>
      </c>
      <c r="G166" t="s">
        <v>6</v>
      </c>
      <c r="H166" t="s">
        <v>62</v>
      </c>
      <c r="I166" t="s">
        <v>63</v>
      </c>
      <c r="J166" t="s">
        <v>64</v>
      </c>
      <c r="K166" s="2">
        <v>3</v>
      </c>
      <c r="L166" t="s">
        <v>143</v>
      </c>
      <c r="M166" s="3">
        <v>150</v>
      </c>
      <c r="N166" t="s">
        <v>45</v>
      </c>
      <c r="O166" t="s">
        <v>16</v>
      </c>
      <c r="P166" t="s">
        <v>113</v>
      </c>
      <c r="Q166" t="s">
        <v>144</v>
      </c>
      <c r="R166" s="3">
        <v>450</v>
      </c>
      <c r="S166" s="4">
        <v>27</v>
      </c>
      <c r="T166" t="s">
        <v>145</v>
      </c>
      <c r="U166">
        <v>423</v>
      </c>
      <c r="V166">
        <v>1</v>
      </c>
      <c r="W166"/>
    </row>
    <row r="167" spans="1:23" x14ac:dyDescent="0.3">
      <c r="A167">
        <v>166</v>
      </c>
      <c r="B167" s="1">
        <v>45457</v>
      </c>
      <c r="C167" t="s">
        <v>164</v>
      </c>
      <c r="D167">
        <v>2024</v>
      </c>
      <c r="E167" t="s">
        <v>9</v>
      </c>
      <c r="F167" t="s">
        <v>7</v>
      </c>
      <c r="G167" t="s">
        <v>10</v>
      </c>
      <c r="H167" t="s">
        <v>66</v>
      </c>
      <c r="I167" t="s">
        <v>59</v>
      </c>
      <c r="J167" t="s">
        <v>67</v>
      </c>
      <c r="K167" s="2"/>
      <c r="L167" t="s">
        <v>147</v>
      </c>
      <c r="M167" s="3">
        <v>20</v>
      </c>
      <c r="N167" t="s">
        <v>51</v>
      </c>
      <c r="O167" t="s">
        <v>6</v>
      </c>
      <c r="P167" t="s">
        <v>113</v>
      </c>
      <c r="Q167" t="s">
        <v>146</v>
      </c>
      <c r="R167" s="3"/>
      <c r="S167" s="4"/>
      <c r="V167">
        <v>1</v>
      </c>
      <c r="W167"/>
    </row>
    <row r="168" spans="1:23" x14ac:dyDescent="0.3">
      <c r="A168">
        <v>167</v>
      </c>
      <c r="B168" s="1">
        <v>45458</v>
      </c>
      <c r="C168" t="s">
        <v>164</v>
      </c>
      <c r="D168">
        <v>2024</v>
      </c>
      <c r="E168" t="s">
        <v>12</v>
      </c>
      <c r="F168" t="s">
        <v>7</v>
      </c>
      <c r="G168" t="s">
        <v>13</v>
      </c>
      <c r="H168" t="s">
        <v>69</v>
      </c>
      <c r="I168" t="s">
        <v>59</v>
      </c>
      <c r="J168" t="s">
        <v>67</v>
      </c>
      <c r="K168" s="2">
        <v>4</v>
      </c>
      <c r="L168" t="s">
        <v>143</v>
      </c>
      <c r="M168" s="3">
        <v>50</v>
      </c>
      <c r="N168" t="s">
        <v>47</v>
      </c>
      <c r="O168" t="s">
        <v>10</v>
      </c>
      <c r="P168" t="s">
        <v>115</v>
      </c>
      <c r="Q168" t="s">
        <v>144</v>
      </c>
      <c r="R168" s="3">
        <v>200</v>
      </c>
      <c r="S168" s="4">
        <v>14</v>
      </c>
      <c r="T168" t="s">
        <v>145</v>
      </c>
      <c r="U168">
        <v>186</v>
      </c>
      <c r="V168">
        <v>1</v>
      </c>
      <c r="W168"/>
    </row>
    <row r="169" spans="1:23" x14ac:dyDescent="0.3">
      <c r="A169">
        <v>168</v>
      </c>
      <c r="B169" s="1">
        <v>45459</v>
      </c>
      <c r="C169" t="s">
        <v>164</v>
      </c>
      <c r="D169">
        <v>2024</v>
      </c>
      <c r="E169" t="s">
        <v>15</v>
      </c>
      <c r="F169" t="s">
        <v>7</v>
      </c>
      <c r="G169" t="s">
        <v>16</v>
      </c>
      <c r="H169" t="s">
        <v>71</v>
      </c>
      <c r="I169" t="s">
        <v>63</v>
      </c>
      <c r="J169" t="s">
        <v>64</v>
      </c>
      <c r="K169" s="2">
        <v>1</v>
      </c>
      <c r="L169" t="s">
        <v>143</v>
      </c>
      <c r="M169" s="3">
        <v>300</v>
      </c>
      <c r="N169" t="s">
        <v>49</v>
      </c>
      <c r="O169" t="s">
        <v>6</v>
      </c>
      <c r="P169" t="s">
        <v>117</v>
      </c>
      <c r="Q169" t="s">
        <v>148</v>
      </c>
      <c r="R169" s="3">
        <v>300</v>
      </c>
      <c r="S169" s="4">
        <v>0</v>
      </c>
      <c r="T169" t="s">
        <v>145</v>
      </c>
      <c r="U169">
        <v>300</v>
      </c>
      <c r="V169">
        <v>1</v>
      </c>
      <c r="W169"/>
    </row>
    <row r="170" spans="1:23" x14ac:dyDescent="0.3">
      <c r="A170">
        <v>169</v>
      </c>
      <c r="B170" s="1">
        <v>45460</v>
      </c>
      <c r="C170" t="s">
        <v>164</v>
      </c>
      <c r="D170">
        <v>2024</v>
      </c>
      <c r="E170" t="s">
        <v>5</v>
      </c>
      <c r="F170" t="s">
        <v>7</v>
      </c>
      <c r="G170" t="s">
        <v>6</v>
      </c>
      <c r="H170" t="s">
        <v>58</v>
      </c>
      <c r="I170" t="s">
        <v>59</v>
      </c>
      <c r="J170" t="s">
        <v>60</v>
      </c>
      <c r="K170" s="2">
        <v>5</v>
      </c>
      <c r="L170" t="s">
        <v>143</v>
      </c>
      <c r="M170" s="3">
        <v>800</v>
      </c>
      <c r="N170" t="s">
        <v>51</v>
      </c>
      <c r="O170" t="s">
        <v>6</v>
      </c>
      <c r="P170" t="s">
        <v>113</v>
      </c>
      <c r="Q170" t="s">
        <v>144</v>
      </c>
      <c r="R170" s="3">
        <v>4000</v>
      </c>
      <c r="S170" s="4">
        <v>200</v>
      </c>
      <c r="T170" t="s">
        <v>150</v>
      </c>
      <c r="U170">
        <v>3800</v>
      </c>
      <c r="V170">
        <v>1</v>
      </c>
      <c r="W170"/>
    </row>
    <row r="171" spans="1:23" x14ac:dyDescent="0.3">
      <c r="A171">
        <v>170</v>
      </c>
      <c r="B171" s="1">
        <v>45461</v>
      </c>
      <c r="C171" t="s">
        <v>164</v>
      </c>
      <c r="D171">
        <v>2024</v>
      </c>
      <c r="E171" t="s">
        <v>9</v>
      </c>
      <c r="F171" t="s">
        <v>7</v>
      </c>
      <c r="G171" t="s">
        <v>10</v>
      </c>
      <c r="H171" t="s">
        <v>73</v>
      </c>
      <c r="I171" t="s">
        <v>59</v>
      </c>
      <c r="J171" t="s">
        <v>74</v>
      </c>
      <c r="K171" s="2">
        <v>2</v>
      </c>
      <c r="L171" t="s">
        <v>143</v>
      </c>
      <c r="M171" s="3">
        <v>200</v>
      </c>
      <c r="N171" t="s">
        <v>45</v>
      </c>
      <c r="O171" t="s">
        <v>16</v>
      </c>
      <c r="P171" t="s">
        <v>113</v>
      </c>
      <c r="Q171" t="s">
        <v>146</v>
      </c>
      <c r="R171" s="3">
        <v>400</v>
      </c>
      <c r="S171" s="4">
        <v>0</v>
      </c>
      <c r="T171" t="s">
        <v>145</v>
      </c>
      <c r="U171">
        <v>400</v>
      </c>
      <c r="V171">
        <v>1</v>
      </c>
      <c r="W171"/>
    </row>
    <row r="172" spans="1:23" x14ac:dyDescent="0.3">
      <c r="A172">
        <v>171</v>
      </c>
      <c r="B172" s="1">
        <v>45462</v>
      </c>
      <c r="C172" t="s">
        <v>164</v>
      </c>
      <c r="D172">
        <v>2024</v>
      </c>
      <c r="E172" t="s">
        <v>12</v>
      </c>
      <c r="F172" t="s">
        <v>7</v>
      </c>
      <c r="G172" t="s">
        <v>13</v>
      </c>
      <c r="H172" t="s">
        <v>62</v>
      </c>
      <c r="I172" t="s">
        <v>63</v>
      </c>
      <c r="J172" t="s">
        <v>64</v>
      </c>
      <c r="K172" s="2">
        <v>3</v>
      </c>
      <c r="L172" t="s">
        <v>143</v>
      </c>
      <c r="M172" s="3">
        <v>150</v>
      </c>
      <c r="N172" t="s">
        <v>51</v>
      </c>
      <c r="O172" t="s">
        <v>6</v>
      </c>
      <c r="P172" t="s">
        <v>113</v>
      </c>
      <c r="Q172" t="s">
        <v>144</v>
      </c>
      <c r="R172" s="3">
        <v>450</v>
      </c>
      <c r="S172" s="4">
        <v>22.5</v>
      </c>
      <c r="T172" t="s">
        <v>145</v>
      </c>
      <c r="U172">
        <v>427.5</v>
      </c>
      <c r="V172">
        <v>1</v>
      </c>
      <c r="W172"/>
    </row>
    <row r="173" spans="1:23" x14ac:dyDescent="0.3">
      <c r="A173">
        <v>172</v>
      </c>
      <c r="B173" s="1">
        <v>45463</v>
      </c>
      <c r="C173" t="s">
        <v>164</v>
      </c>
      <c r="D173">
        <v>2024</v>
      </c>
      <c r="E173" t="s">
        <v>15</v>
      </c>
      <c r="F173" t="s">
        <v>7</v>
      </c>
      <c r="G173" t="s">
        <v>16</v>
      </c>
      <c r="H173" t="s">
        <v>66</v>
      </c>
      <c r="I173" t="s">
        <v>59</v>
      </c>
      <c r="J173" t="s">
        <v>67</v>
      </c>
      <c r="K173" s="2">
        <v>1</v>
      </c>
      <c r="L173" t="s">
        <v>143</v>
      </c>
      <c r="M173" s="3">
        <v>20</v>
      </c>
      <c r="N173" t="s">
        <v>47</v>
      </c>
      <c r="O173" t="s">
        <v>10</v>
      </c>
      <c r="P173" t="s">
        <v>115</v>
      </c>
      <c r="Q173" t="s">
        <v>144</v>
      </c>
      <c r="R173" s="3">
        <v>20</v>
      </c>
      <c r="S173" s="4">
        <v>0</v>
      </c>
      <c r="T173" t="s">
        <v>145</v>
      </c>
      <c r="U173">
        <v>20</v>
      </c>
      <c r="V173">
        <v>1</v>
      </c>
      <c r="W173"/>
    </row>
    <row r="174" spans="1:23" x14ac:dyDescent="0.3">
      <c r="A174">
        <v>173</v>
      </c>
      <c r="B174" s="1">
        <v>45464</v>
      </c>
      <c r="C174" t="s">
        <v>164</v>
      </c>
      <c r="D174">
        <v>2024</v>
      </c>
      <c r="E174" t="s">
        <v>5</v>
      </c>
      <c r="F174" t="s">
        <v>7</v>
      </c>
      <c r="G174" t="s">
        <v>6</v>
      </c>
      <c r="H174" t="s">
        <v>69</v>
      </c>
      <c r="I174" t="s">
        <v>59</v>
      </c>
      <c r="J174" t="s">
        <v>67</v>
      </c>
      <c r="K174" s="2">
        <v>2</v>
      </c>
      <c r="L174" t="s">
        <v>143</v>
      </c>
      <c r="M174" s="3">
        <v>50</v>
      </c>
      <c r="N174" t="s">
        <v>49</v>
      </c>
      <c r="O174" t="s">
        <v>13</v>
      </c>
      <c r="P174" t="s">
        <v>117</v>
      </c>
      <c r="Q174" t="s">
        <v>146</v>
      </c>
      <c r="R174" s="3">
        <v>100</v>
      </c>
      <c r="S174" s="4">
        <v>4</v>
      </c>
      <c r="T174" t="s">
        <v>145</v>
      </c>
      <c r="U174">
        <v>96</v>
      </c>
      <c r="V174">
        <v>1</v>
      </c>
      <c r="W174"/>
    </row>
    <row r="175" spans="1:23" x14ac:dyDescent="0.3">
      <c r="A175">
        <v>174</v>
      </c>
      <c r="B175" s="1">
        <v>45465</v>
      </c>
      <c r="C175" t="s">
        <v>164</v>
      </c>
      <c r="D175">
        <v>2024</v>
      </c>
      <c r="E175" t="s">
        <v>9</v>
      </c>
      <c r="F175" t="s">
        <v>7</v>
      </c>
      <c r="G175" t="s">
        <v>10</v>
      </c>
      <c r="H175" t="s">
        <v>71</v>
      </c>
      <c r="I175" t="s">
        <v>63</v>
      </c>
      <c r="J175" t="s">
        <v>64</v>
      </c>
      <c r="K175" s="2">
        <v>4</v>
      </c>
      <c r="L175" t="s">
        <v>143</v>
      </c>
      <c r="M175" s="3">
        <v>300</v>
      </c>
      <c r="N175" t="s">
        <v>51</v>
      </c>
      <c r="O175" t="s">
        <v>6</v>
      </c>
      <c r="P175" t="s">
        <v>113</v>
      </c>
      <c r="Q175" t="s">
        <v>144</v>
      </c>
      <c r="R175" s="3">
        <v>1200</v>
      </c>
      <c r="S175" s="4">
        <v>60</v>
      </c>
      <c r="T175" t="s">
        <v>149</v>
      </c>
      <c r="U175">
        <v>1140</v>
      </c>
      <c r="V175">
        <v>1</v>
      </c>
      <c r="W175"/>
    </row>
    <row r="176" spans="1:23" x14ac:dyDescent="0.3">
      <c r="A176">
        <v>175</v>
      </c>
      <c r="B176" s="1">
        <v>45466</v>
      </c>
      <c r="C176" t="s">
        <v>164</v>
      </c>
      <c r="D176">
        <v>2024</v>
      </c>
      <c r="E176" t="s">
        <v>12</v>
      </c>
      <c r="F176" t="s">
        <v>7</v>
      </c>
      <c r="G176" t="s">
        <v>13</v>
      </c>
      <c r="H176" t="s">
        <v>58</v>
      </c>
      <c r="I176" t="s">
        <v>59</v>
      </c>
      <c r="J176" t="s">
        <v>60</v>
      </c>
      <c r="K176" s="2"/>
      <c r="L176" t="s">
        <v>147</v>
      </c>
      <c r="M176" s="3">
        <v>800</v>
      </c>
      <c r="N176" t="s">
        <v>45</v>
      </c>
      <c r="O176" t="s">
        <v>10</v>
      </c>
      <c r="P176" t="s">
        <v>113</v>
      </c>
      <c r="Q176" t="s">
        <v>148</v>
      </c>
      <c r="R176" s="3"/>
      <c r="S176" s="4"/>
      <c r="V176">
        <v>1</v>
      </c>
      <c r="W176"/>
    </row>
    <row r="177" spans="1:23" x14ac:dyDescent="0.3">
      <c r="A177">
        <v>176</v>
      </c>
      <c r="B177" s="1">
        <v>45467</v>
      </c>
      <c r="C177" t="s">
        <v>164</v>
      </c>
      <c r="D177">
        <v>2024</v>
      </c>
      <c r="E177" t="s">
        <v>15</v>
      </c>
      <c r="F177" t="s">
        <v>7</v>
      </c>
      <c r="G177" t="s">
        <v>16</v>
      </c>
      <c r="H177" t="s">
        <v>62</v>
      </c>
      <c r="I177" t="s">
        <v>63</v>
      </c>
      <c r="J177" t="s">
        <v>64</v>
      </c>
      <c r="K177" s="2">
        <v>2</v>
      </c>
      <c r="L177" t="s">
        <v>143</v>
      </c>
      <c r="M177" s="3">
        <v>150</v>
      </c>
      <c r="N177" t="s">
        <v>51</v>
      </c>
      <c r="O177" t="s">
        <v>6</v>
      </c>
      <c r="P177" t="s">
        <v>113</v>
      </c>
      <c r="Q177" t="s">
        <v>144</v>
      </c>
      <c r="R177" s="3">
        <v>300</v>
      </c>
      <c r="S177" s="4">
        <v>15</v>
      </c>
      <c r="T177" t="s">
        <v>145</v>
      </c>
      <c r="U177">
        <v>285</v>
      </c>
      <c r="V177">
        <v>1</v>
      </c>
      <c r="W177"/>
    </row>
    <row r="178" spans="1:23" x14ac:dyDescent="0.3">
      <c r="A178">
        <v>177</v>
      </c>
      <c r="B178" s="1">
        <v>45468</v>
      </c>
      <c r="C178" t="s">
        <v>164</v>
      </c>
      <c r="D178">
        <v>2024</v>
      </c>
      <c r="E178" t="s">
        <v>5</v>
      </c>
      <c r="F178" t="s">
        <v>7</v>
      </c>
      <c r="G178" t="s">
        <v>6</v>
      </c>
      <c r="H178" t="s">
        <v>66</v>
      </c>
      <c r="I178" t="s">
        <v>59</v>
      </c>
      <c r="J178" t="s">
        <v>67</v>
      </c>
      <c r="K178" s="2">
        <v>5</v>
      </c>
      <c r="L178" t="s">
        <v>143</v>
      </c>
      <c r="M178" s="3">
        <v>20</v>
      </c>
      <c r="N178" t="s">
        <v>47</v>
      </c>
      <c r="O178" t="s">
        <v>16</v>
      </c>
      <c r="P178" t="s">
        <v>115</v>
      </c>
      <c r="Q178" t="s">
        <v>146</v>
      </c>
      <c r="R178" s="3">
        <v>100</v>
      </c>
      <c r="S178" s="4">
        <v>6</v>
      </c>
      <c r="T178" t="s">
        <v>145</v>
      </c>
      <c r="U178">
        <v>94</v>
      </c>
      <c r="V178">
        <v>1</v>
      </c>
      <c r="W178"/>
    </row>
    <row r="179" spans="1:23" x14ac:dyDescent="0.3">
      <c r="A179">
        <v>178</v>
      </c>
      <c r="B179" s="1">
        <v>45469</v>
      </c>
      <c r="C179" t="s">
        <v>164</v>
      </c>
      <c r="D179">
        <v>2024</v>
      </c>
      <c r="E179" t="s">
        <v>9</v>
      </c>
      <c r="F179" t="s">
        <v>7</v>
      </c>
      <c r="G179" t="s">
        <v>10</v>
      </c>
      <c r="H179" t="s">
        <v>69</v>
      </c>
      <c r="I179" t="s">
        <v>59</v>
      </c>
      <c r="J179" t="s">
        <v>67</v>
      </c>
      <c r="K179" s="2">
        <v>1</v>
      </c>
      <c r="L179" t="s">
        <v>143</v>
      </c>
      <c r="M179" s="3">
        <v>50</v>
      </c>
      <c r="N179" t="s">
        <v>49</v>
      </c>
      <c r="O179" t="s">
        <v>6</v>
      </c>
      <c r="P179" t="s">
        <v>117</v>
      </c>
      <c r="Q179" t="s">
        <v>144</v>
      </c>
      <c r="R179" s="3">
        <v>50</v>
      </c>
      <c r="S179" s="4">
        <v>0</v>
      </c>
      <c r="T179" t="s">
        <v>145</v>
      </c>
      <c r="U179">
        <v>50</v>
      </c>
      <c r="V179">
        <v>1</v>
      </c>
      <c r="W179"/>
    </row>
    <row r="180" spans="1:23" x14ac:dyDescent="0.3">
      <c r="A180">
        <v>179</v>
      </c>
      <c r="B180" s="1">
        <v>45470</v>
      </c>
      <c r="C180" t="s">
        <v>164</v>
      </c>
      <c r="D180">
        <v>2024</v>
      </c>
      <c r="E180" t="s">
        <v>12</v>
      </c>
      <c r="F180" t="s">
        <v>7</v>
      </c>
      <c r="G180" t="s">
        <v>13</v>
      </c>
      <c r="H180" t="s">
        <v>71</v>
      </c>
      <c r="I180" t="s">
        <v>63</v>
      </c>
      <c r="J180" t="s">
        <v>64</v>
      </c>
      <c r="K180" s="2">
        <v>3</v>
      </c>
      <c r="L180" t="s">
        <v>143</v>
      </c>
      <c r="M180" s="3">
        <v>300</v>
      </c>
      <c r="N180" t="s">
        <v>51</v>
      </c>
      <c r="O180" t="s">
        <v>10</v>
      </c>
      <c r="P180" t="s">
        <v>113</v>
      </c>
      <c r="Q180" t="s">
        <v>146</v>
      </c>
      <c r="R180" s="3">
        <v>900</v>
      </c>
      <c r="S180" s="4">
        <v>63</v>
      </c>
      <c r="T180" t="s">
        <v>145</v>
      </c>
      <c r="U180">
        <v>837</v>
      </c>
      <c r="V180">
        <v>1</v>
      </c>
      <c r="W180"/>
    </row>
    <row r="181" spans="1:23" x14ac:dyDescent="0.3">
      <c r="A181">
        <v>180</v>
      </c>
      <c r="B181" s="1">
        <v>45471</v>
      </c>
      <c r="C181" t="s">
        <v>164</v>
      </c>
      <c r="D181">
        <v>2024</v>
      </c>
      <c r="E181" t="s">
        <v>15</v>
      </c>
      <c r="F181" t="s">
        <v>7</v>
      </c>
      <c r="G181" t="s">
        <v>16</v>
      </c>
      <c r="H181" t="s">
        <v>58</v>
      </c>
      <c r="I181" t="s">
        <v>59</v>
      </c>
      <c r="J181" t="s">
        <v>60</v>
      </c>
      <c r="K181" s="2">
        <v>2</v>
      </c>
      <c r="L181" t="s">
        <v>143</v>
      </c>
      <c r="M181" s="3">
        <v>800</v>
      </c>
      <c r="N181" t="s">
        <v>45</v>
      </c>
      <c r="O181" t="s">
        <v>13</v>
      </c>
      <c r="P181" t="s">
        <v>113</v>
      </c>
      <c r="Q181" t="s">
        <v>144</v>
      </c>
      <c r="R181" s="3">
        <v>1600</v>
      </c>
      <c r="S181" s="4">
        <v>64</v>
      </c>
      <c r="T181" t="s">
        <v>149</v>
      </c>
      <c r="U181">
        <v>1536</v>
      </c>
      <c r="V181">
        <v>1</v>
      </c>
      <c r="W181"/>
    </row>
    <row r="182" spans="1:23" x14ac:dyDescent="0.3">
      <c r="A182">
        <v>181</v>
      </c>
      <c r="B182" s="1">
        <v>45472</v>
      </c>
      <c r="C182" t="s">
        <v>164</v>
      </c>
      <c r="D182">
        <v>2024</v>
      </c>
      <c r="E182" t="s">
        <v>5</v>
      </c>
      <c r="F182" t="s">
        <v>7</v>
      </c>
      <c r="G182" t="s">
        <v>6</v>
      </c>
      <c r="H182" t="s">
        <v>62</v>
      </c>
      <c r="I182" t="s">
        <v>63</v>
      </c>
      <c r="J182" t="s">
        <v>64</v>
      </c>
      <c r="K182" s="2">
        <v>4</v>
      </c>
      <c r="L182" t="s">
        <v>143</v>
      </c>
      <c r="M182" s="3">
        <v>150</v>
      </c>
      <c r="N182" t="s">
        <v>51</v>
      </c>
      <c r="O182" t="s">
        <v>6</v>
      </c>
      <c r="P182" t="s">
        <v>113</v>
      </c>
      <c r="Q182" t="s">
        <v>144</v>
      </c>
      <c r="R182" s="3">
        <v>600</v>
      </c>
      <c r="S182" s="4">
        <v>30</v>
      </c>
      <c r="T182" t="s">
        <v>145</v>
      </c>
      <c r="U182">
        <v>570</v>
      </c>
      <c r="V182">
        <v>1</v>
      </c>
      <c r="W182"/>
    </row>
    <row r="183" spans="1:23" x14ac:dyDescent="0.3">
      <c r="A183">
        <v>182</v>
      </c>
      <c r="B183" s="1">
        <v>45473</v>
      </c>
      <c r="C183" t="s">
        <v>164</v>
      </c>
      <c r="D183">
        <v>2024</v>
      </c>
      <c r="E183" t="s">
        <v>9</v>
      </c>
      <c r="F183" t="s">
        <v>7</v>
      </c>
      <c r="G183" t="s">
        <v>10</v>
      </c>
      <c r="H183" t="s">
        <v>66</v>
      </c>
      <c r="I183" t="s">
        <v>59</v>
      </c>
      <c r="J183" t="s">
        <v>67</v>
      </c>
      <c r="K183" s="2">
        <v>1</v>
      </c>
      <c r="L183" t="s">
        <v>143</v>
      </c>
      <c r="M183" s="3">
        <v>20</v>
      </c>
      <c r="N183" t="s">
        <v>47</v>
      </c>
      <c r="O183" t="s">
        <v>10</v>
      </c>
      <c r="P183" t="s">
        <v>115</v>
      </c>
      <c r="Q183" t="s">
        <v>148</v>
      </c>
      <c r="R183" s="3">
        <v>20</v>
      </c>
      <c r="S183" s="4">
        <v>0</v>
      </c>
      <c r="T183" t="s">
        <v>145</v>
      </c>
      <c r="U183">
        <v>20</v>
      </c>
      <c r="V183">
        <v>1</v>
      </c>
      <c r="W183"/>
    </row>
    <row r="184" spans="1:23" x14ac:dyDescent="0.3">
      <c r="A184">
        <v>183</v>
      </c>
      <c r="B184" s="1">
        <v>45298</v>
      </c>
      <c r="C184" t="s">
        <v>153</v>
      </c>
      <c r="D184">
        <v>2024</v>
      </c>
      <c r="E184" t="s">
        <v>12</v>
      </c>
      <c r="F184" t="s">
        <v>7</v>
      </c>
      <c r="G184" t="s">
        <v>13</v>
      </c>
      <c r="H184" t="s">
        <v>69</v>
      </c>
      <c r="I184" t="s">
        <v>59</v>
      </c>
      <c r="J184" t="s">
        <v>67</v>
      </c>
      <c r="K184" s="2">
        <v>2</v>
      </c>
      <c r="L184" t="s">
        <v>143</v>
      </c>
      <c r="M184" s="3">
        <v>50</v>
      </c>
      <c r="N184" t="s">
        <v>49</v>
      </c>
      <c r="O184" t="s">
        <v>6</v>
      </c>
      <c r="P184" t="s">
        <v>117</v>
      </c>
      <c r="Q184" t="s">
        <v>146</v>
      </c>
      <c r="R184" s="3">
        <v>100</v>
      </c>
      <c r="S184" s="4">
        <v>5</v>
      </c>
      <c r="T184" t="s">
        <v>145</v>
      </c>
      <c r="U184">
        <v>95</v>
      </c>
      <c r="V184">
        <v>1</v>
      </c>
      <c r="W184"/>
    </row>
    <row r="185" spans="1:23" x14ac:dyDescent="0.3">
      <c r="A185">
        <v>184</v>
      </c>
      <c r="B185" s="1">
        <v>45329</v>
      </c>
      <c r="C185" t="s">
        <v>157</v>
      </c>
      <c r="D185">
        <v>2024</v>
      </c>
      <c r="E185" t="s">
        <v>15</v>
      </c>
      <c r="F185" t="s">
        <v>7</v>
      </c>
      <c r="G185" t="s">
        <v>16</v>
      </c>
      <c r="H185" t="s">
        <v>71</v>
      </c>
      <c r="I185" t="s">
        <v>63</v>
      </c>
      <c r="J185" t="s">
        <v>64</v>
      </c>
      <c r="K185" s="2">
        <v>5</v>
      </c>
      <c r="L185" t="s">
        <v>143</v>
      </c>
      <c r="M185" s="3">
        <v>300</v>
      </c>
      <c r="N185" t="s">
        <v>51</v>
      </c>
      <c r="O185" t="s">
        <v>16</v>
      </c>
      <c r="P185" t="s">
        <v>113</v>
      </c>
      <c r="Q185" t="s">
        <v>144</v>
      </c>
      <c r="R185" s="3">
        <v>1500</v>
      </c>
      <c r="S185" s="4">
        <v>90</v>
      </c>
      <c r="T185" t="s">
        <v>149</v>
      </c>
      <c r="U185">
        <v>1410</v>
      </c>
      <c r="V185">
        <v>1</v>
      </c>
      <c r="W185"/>
    </row>
    <row r="186" spans="1:23" x14ac:dyDescent="0.3">
      <c r="A186">
        <v>185</v>
      </c>
      <c r="B186" s="1">
        <v>45358</v>
      </c>
      <c r="C186" t="s">
        <v>158</v>
      </c>
      <c r="D186">
        <v>2024</v>
      </c>
      <c r="E186" t="s">
        <v>5</v>
      </c>
      <c r="F186" t="s">
        <v>7</v>
      </c>
      <c r="G186" t="s">
        <v>6</v>
      </c>
      <c r="H186" t="s">
        <v>58</v>
      </c>
      <c r="I186" t="s">
        <v>59</v>
      </c>
      <c r="J186" t="s">
        <v>60</v>
      </c>
      <c r="K186" s="2">
        <v>3</v>
      </c>
      <c r="L186" t="s">
        <v>143</v>
      </c>
      <c r="M186" s="3">
        <v>800</v>
      </c>
      <c r="N186" t="s">
        <v>45</v>
      </c>
      <c r="O186" t="s">
        <v>6</v>
      </c>
      <c r="P186" t="s">
        <v>113</v>
      </c>
      <c r="Q186" t="s">
        <v>144</v>
      </c>
      <c r="R186" s="3">
        <v>2400</v>
      </c>
      <c r="S186" s="4">
        <v>120</v>
      </c>
      <c r="T186" t="s">
        <v>150</v>
      </c>
      <c r="U186">
        <v>2280</v>
      </c>
      <c r="V186">
        <v>1</v>
      </c>
      <c r="W186"/>
    </row>
    <row r="187" spans="1:23" x14ac:dyDescent="0.3">
      <c r="A187">
        <v>186</v>
      </c>
      <c r="B187" s="1">
        <v>45389</v>
      </c>
      <c r="C187" t="s">
        <v>156</v>
      </c>
      <c r="D187">
        <v>2024</v>
      </c>
      <c r="E187" t="s">
        <v>9</v>
      </c>
      <c r="F187" t="s">
        <v>7</v>
      </c>
      <c r="G187" t="s">
        <v>10</v>
      </c>
      <c r="H187" t="s">
        <v>62</v>
      </c>
      <c r="I187" t="s">
        <v>63</v>
      </c>
      <c r="J187" t="s">
        <v>64</v>
      </c>
      <c r="K187" s="2"/>
      <c r="L187" t="s">
        <v>147</v>
      </c>
      <c r="M187" s="3">
        <v>150</v>
      </c>
      <c r="N187" t="s">
        <v>51</v>
      </c>
      <c r="O187" t="s">
        <v>10</v>
      </c>
      <c r="P187" t="s">
        <v>113</v>
      </c>
      <c r="Q187" t="s">
        <v>146</v>
      </c>
      <c r="R187" s="3"/>
      <c r="S187" s="4"/>
      <c r="V187">
        <v>1</v>
      </c>
      <c r="W187"/>
    </row>
    <row r="188" spans="1:23" x14ac:dyDescent="0.3">
      <c r="A188">
        <v>187</v>
      </c>
      <c r="B188" s="1">
        <v>45419</v>
      </c>
      <c r="C188" t="s">
        <v>159</v>
      </c>
      <c r="D188">
        <v>2024</v>
      </c>
      <c r="E188" t="s">
        <v>12</v>
      </c>
      <c r="F188" t="s">
        <v>7</v>
      </c>
      <c r="G188" t="s">
        <v>13</v>
      </c>
      <c r="H188" t="s">
        <v>66</v>
      </c>
      <c r="I188" t="s">
        <v>59</v>
      </c>
      <c r="J188" t="s">
        <v>67</v>
      </c>
      <c r="K188" s="2">
        <v>2</v>
      </c>
      <c r="L188" t="s">
        <v>143</v>
      </c>
      <c r="M188" s="3">
        <v>20</v>
      </c>
      <c r="N188" t="s">
        <v>47</v>
      </c>
      <c r="O188" t="s">
        <v>13</v>
      </c>
      <c r="P188" t="s">
        <v>115</v>
      </c>
      <c r="Q188" t="s">
        <v>144</v>
      </c>
      <c r="R188" s="3">
        <v>40</v>
      </c>
      <c r="S188" s="4">
        <v>1.6</v>
      </c>
      <c r="T188" t="s">
        <v>145</v>
      </c>
      <c r="U188">
        <v>38.4</v>
      </c>
      <c r="V188">
        <v>1</v>
      </c>
      <c r="W188"/>
    </row>
    <row r="189" spans="1:23" x14ac:dyDescent="0.3">
      <c r="A189">
        <v>188</v>
      </c>
      <c r="B189" s="1">
        <v>45450</v>
      </c>
      <c r="C189" t="s">
        <v>164</v>
      </c>
      <c r="D189">
        <v>2024</v>
      </c>
      <c r="E189" t="s">
        <v>15</v>
      </c>
      <c r="F189" t="s">
        <v>7</v>
      </c>
      <c r="G189" t="s">
        <v>16</v>
      </c>
      <c r="H189" t="s">
        <v>69</v>
      </c>
      <c r="I189" t="s">
        <v>59</v>
      </c>
      <c r="J189" t="s">
        <v>67</v>
      </c>
      <c r="K189" s="2">
        <v>1</v>
      </c>
      <c r="L189" t="s">
        <v>143</v>
      </c>
      <c r="M189" s="3">
        <v>50</v>
      </c>
      <c r="N189" t="s">
        <v>49</v>
      </c>
      <c r="O189" t="s">
        <v>6</v>
      </c>
      <c r="P189" t="s">
        <v>117</v>
      </c>
      <c r="Q189" t="s">
        <v>144</v>
      </c>
      <c r="R189" s="3">
        <v>50</v>
      </c>
      <c r="S189" s="4">
        <v>0</v>
      </c>
      <c r="T189" t="s">
        <v>145</v>
      </c>
      <c r="U189">
        <v>50</v>
      </c>
      <c r="V189">
        <v>1</v>
      </c>
      <c r="W189"/>
    </row>
    <row r="190" spans="1:23" x14ac:dyDescent="0.3">
      <c r="A190">
        <v>189</v>
      </c>
      <c r="B190" s="1">
        <v>45480</v>
      </c>
      <c r="C190" t="s">
        <v>160</v>
      </c>
      <c r="D190">
        <v>2024</v>
      </c>
      <c r="E190" t="s">
        <v>5</v>
      </c>
      <c r="F190" t="s">
        <v>7</v>
      </c>
      <c r="G190" t="s">
        <v>6</v>
      </c>
      <c r="H190" t="s">
        <v>71</v>
      </c>
      <c r="I190" t="s">
        <v>63</v>
      </c>
      <c r="J190" t="s">
        <v>64</v>
      </c>
      <c r="K190" s="2">
        <v>4</v>
      </c>
      <c r="L190" t="s">
        <v>143</v>
      </c>
      <c r="M190" s="3">
        <v>300</v>
      </c>
      <c r="N190" t="s">
        <v>51</v>
      </c>
      <c r="O190" t="s">
        <v>10</v>
      </c>
      <c r="P190" t="s">
        <v>113</v>
      </c>
      <c r="Q190" t="s">
        <v>146</v>
      </c>
      <c r="R190" s="3">
        <v>1200</v>
      </c>
      <c r="S190" s="4">
        <v>84</v>
      </c>
      <c r="T190" t="s">
        <v>149</v>
      </c>
      <c r="U190">
        <v>1116</v>
      </c>
      <c r="V190">
        <v>1</v>
      </c>
      <c r="W190"/>
    </row>
    <row r="191" spans="1:23" x14ac:dyDescent="0.3">
      <c r="A191">
        <v>190</v>
      </c>
      <c r="B191" s="1">
        <v>45511</v>
      </c>
      <c r="C191" t="s">
        <v>154</v>
      </c>
      <c r="D191">
        <v>2024</v>
      </c>
      <c r="E191" t="s">
        <v>9</v>
      </c>
      <c r="F191" t="s">
        <v>7</v>
      </c>
      <c r="G191" t="s">
        <v>10</v>
      </c>
      <c r="H191" t="s">
        <v>58</v>
      </c>
      <c r="I191" t="s">
        <v>59</v>
      </c>
      <c r="J191" t="s">
        <v>60</v>
      </c>
      <c r="K191" s="2">
        <v>2</v>
      </c>
      <c r="L191" t="s">
        <v>143</v>
      </c>
      <c r="M191" s="3">
        <v>800</v>
      </c>
      <c r="N191" t="s">
        <v>45</v>
      </c>
      <c r="O191" t="s">
        <v>6</v>
      </c>
      <c r="P191" t="s">
        <v>113</v>
      </c>
      <c r="Q191" t="s">
        <v>144</v>
      </c>
      <c r="R191" s="3">
        <v>1600</v>
      </c>
      <c r="S191" s="4">
        <v>80</v>
      </c>
      <c r="T191" t="s">
        <v>149</v>
      </c>
      <c r="U191">
        <v>1520</v>
      </c>
      <c r="V191">
        <v>1</v>
      </c>
      <c r="W191"/>
    </row>
    <row r="192" spans="1:23" x14ac:dyDescent="0.3">
      <c r="A192">
        <v>191</v>
      </c>
      <c r="B192" s="1">
        <v>45542</v>
      </c>
      <c r="C192" t="s">
        <v>161</v>
      </c>
      <c r="D192">
        <v>2024</v>
      </c>
      <c r="E192" t="s">
        <v>12</v>
      </c>
      <c r="F192" t="s">
        <v>7</v>
      </c>
      <c r="G192" t="s">
        <v>13</v>
      </c>
      <c r="H192" t="s">
        <v>73</v>
      </c>
      <c r="I192" t="s">
        <v>59</v>
      </c>
      <c r="J192" t="s">
        <v>74</v>
      </c>
      <c r="K192" s="2">
        <v>5</v>
      </c>
      <c r="L192" t="s">
        <v>143</v>
      </c>
      <c r="M192" s="3">
        <v>200</v>
      </c>
      <c r="N192" t="s">
        <v>51</v>
      </c>
      <c r="O192" t="s">
        <v>6</v>
      </c>
      <c r="P192" t="s">
        <v>113</v>
      </c>
      <c r="Q192" t="s">
        <v>148</v>
      </c>
      <c r="R192" s="3">
        <v>1000</v>
      </c>
      <c r="S192" s="4">
        <v>50</v>
      </c>
      <c r="T192" t="s">
        <v>149</v>
      </c>
      <c r="U192">
        <v>950</v>
      </c>
      <c r="V192">
        <v>1</v>
      </c>
      <c r="W192"/>
    </row>
    <row r="193" spans="1:23" x14ac:dyDescent="0.3">
      <c r="A193">
        <v>192</v>
      </c>
      <c r="B193" s="1">
        <v>45572</v>
      </c>
      <c r="C193" t="s">
        <v>155</v>
      </c>
      <c r="D193">
        <v>2024</v>
      </c>
      <c r="E193" t="s">
        <v>15</v>
      </c>
      <c r="F193" t="s">
        <v>7</v>
      </c>
      <c r="G193" t="s">
        <v>16</v>
      </c>
      <c r="H193" t="s">
        <v>62</v>
      </c>
      <c r="I193" t="s">
        <v>63</v>
      </c>
      <c r="J193" t="s">
        <v>64</v>
      </c>
      <c r="K193" s="2">
        <v>3</v>
      </c>
      <c r="L193" t="s">
        <v>143</v>
      </c>
      <c r="M193" s="3">
        <v>150</v>
      </c>
      <c r="N193" t="s">
        <v>47</v>
      </c>
      <c r="O193" t="s">
        <v>10</v>
      </c>
      <c r="P193" t="s">
        <v>115</v>
      </c>
      <c r="Q193" t="s">
        <v>144</v>
      </c>
      <c r="R193" s="3">
        <v>450</v>
      </c>
      <c r="S193" s="4">
        <v>31.5</v>
      </c>
      <c r="T193" t="s">
        <v>145</v>
      </c>
      <c r="U193">
        <v>418.5</v>
      </c>
      <c r="V193">
        <v>1</v>
      </c>
      <c r="W193"/>
    </row>
    <row r="194" spans="1:23" x14ac:dyDescent="0.3">
      <c r="A194">
        <v>193</v>
      </c>
      <c r="B194" s="1">
        <v>45603</v>
      </c>
      <c r="C194" t="s">
        <v>162</v>
      </c>
      <c r="D194">
        <v>2024</v>
      </c>
      <c r="E194" t="s">
        <v>5</v>
      </c>
      <c r="F194" t="s">
        <v>7</v>
      </c>
      <c r="G194" t="s">
        <v>6</v>
      </c>
      <c r="H194" t="s">
        <v>66</v>
      </c>
      <c r="I194" t="s">
        <v>59</v>
      </c>
      <c r="J194" t="s">
        <v>67</v>
      </c>
      <c r="K194" s="2">
        <v>1</v>
      </c>
      <c r="L194" t="s">
        <v>143</v>
      </c>
      <c r="M194" s="3">
        <v>20</v>
      </c>
      <c r="N194" t="s">
        <v>49</v>
      </c>
      <c r="O194" t="s">
        <v>13</v>
      </c>
      <c r="P194" t="s">
        <v>117</v>
      </c>
      <c r="Q194" t="s">
        <v>146</v>
      </c>
      <c r="R194" s="3">
        <v>20</v>
      </c>
      <c r="S194" s="4">
        <v>0</v>
      </c>
      <c r="T194" t="s">
        <v>145</v>
      </c>
      <c r="U194">
        <v>20</v>
      </c>
      <c r="V194">
        <v>1</v>
      </c>
      <c r="W194"/>
    </row>
    <row r="195" spans="1:23" x14ac:dyDescent="0.3">
      <c r="A195">
        <v>194</v>
      </c>
      <c r="B195" s="1">
        <v>45633</v>
      </c>
      <c r="C195" t="s">
        <v>163</v>
      </c>
      <c r="D195">
        <v>2024</v>
      </c>
      <c r="E195" t="s">
        <v>9</v>
      </c>
      <c r="F195" t="s">
        <v>7</v>
      </c>
      <c r="G195" t="s">
        <v>10</v>
      </c>
      <c r="H195" t="s">
        <v>69</v>
      </c>
      <c r="I195" t="s">
        <v>59</v>
      </c>
      <c r="J195" t="s">
        <v>67</v>
      </c>
      <c r="K195" s="2">
        <v>2</v>
      </c>
      <c r="L195" t="s">
        <v>143</v>
      </c>
      <c r="M195" s="3">
        <v>50</v>
      </c>
      <c r="N195" t="s">
        <v>51</v>
      </c>
      <c r="O195" t="s">
        <v>6</v>
      </c>
      <c r="P195" t="s">
        <v>113</v>
      </c>
      <c r="Q195" t="s">
        <v>144</v>
      </c>
      <c r="R195" s="3">
        <v>100</v>
      </c>
      <c r="S195" s="4">
        <v>5</v>
      </c>
      <c r="T195" t="s">
        <v>145</v>
      </c>
      <c r="U195">
        <v>95</v>
      </c>
      <c r="V195">
        <v>1</v>
      </c>
      <c r="W195"/>
    </row>
    <row r="196" spans="1:23" x14ac:dyDescent="0.3">
      <c r="A196">
        <v>195</v>
      </c>
      <c r="B196" s="1">
        <v>45486</v>
      </c>
      <c r="C196" t="s">
        <v>160</v>
      </c>
      <c r="D196">
        <v>2024</v>
      </c>
      <c r="E196" t="s">
        <v>12</v>
      </c>
      <c r="F196" t="s">
        <v>7</v>
      </c>
      <c r="G196" t="s">
        <v>13</v>
      </c>
      <c r="H196" t="s">
        <v>71</v>
      </c>
      <c r="I196" t="s">
        <v>63</v>
      </c>
      <c r="J196" t="s">
        <v>64</v>
      </c>
      <c r="K196" s="2"/>
      <c r="L196" t="s">
        <v>147</v>
      </c>
      <c r="M196" s="3">
        <v>300</v>
      </c>
      <c r="N196" t="s">
        <v>45</v>
      </c>
      <c r="O196" t="s">
        <v>16</v>
      </c>
      <c r="P196" t="s">
        <v>113</v>
      </c>
      <c r="Q196" t="s">
        <v>144</v>
      </c>
      <c r="R196" s="3"/>
      <c r="S196" s="4"/>
      <c r="V196">
        <v>1</v>
      </c>
      <c r="W196"/>
    </row>
    <row r="197" spans="1:23" x14ac:dyDescent="0.3">
      <c r="A197">
        <v>196</v>
      </c>
      <c r="B197" s="1">
        <v>45487</v>
      </c>
      <c r="C197" t="s">
        <v>160</v>
      </c>
      <c r="D197">
        <v>2024</v>
      </c>
      <c r="E197" t="s">
        <v>15</v>
      </c>
      <c r="F197" t="s">
        <v>7</v>
      </c>
      <c r="G197" t="s">
        <v>16</v>
      </c>
      <c r="H197" t="s">
        <v>58</v>
      </c>
      <c r="I197" t="s">
        <v>59</v>
      </c>
      <c r="J197" t="s">
        <v>60</v>
      </c>
      <c r="K197" s="2">
        <v>4</v>
      </c>
      <c r="L197" t="s">
        <v>143</v>
      </c>
      <c r="M197" s="3">
        <v>800</v>
      </c>
      <c r="N197" t="s">
        <v>51</v>
      </c>
      <c r="O197" t="s">
        <v>6</v>
      </c>
      <c r="P197" t="s">
        <v>113</v>
      </c>
      <c r="Q197" t="s">
        <v>146</v>
      </c>
      <c r="R197" s="3">
        <v>3200</v>
      </c>
      <c r="S197" s="4">
        <v>160</v>
      </c>
      <c r="T197" t="s">
        <v>150</v>
      </c>
      <c r="U197">
        <v>3040</v>
      </c>
      <c r="V197">
        <v>1</v>
      </c>
      <c r="W197"/>
    </row>
    <row r="198" spans="1:23" x14ac:dyDescent="0.3">
      <c r="A198">
        <v>197</v>
      </c>
      <c r="B198" s="1">
        <v>45488</v>
      </c>
      <c r="C198" t="s">
        <v>160</v>
      </c>
      <c r="D198">
        <v>2024</v>
      </c>
      <c r="E198" t="s">
        <v>5</v>
      </c>
      <c r="F198" t="s">
        <v>7</v>
      </c>
      <c r="G198" t="s">
        <v>6</v>
      </c>
      <c r="H198" t="s">
        <v>62</v>
      </c>
      <c r="I198" t="s">
        <v>63</v>
      </c>
      <c r="J198" t="s">
        <v>64</v>
      </c>
      <c r="K198" s="2">
        <v>2</v>
      </c>
      <c r="L198" t="s">
        <v>143</v>
      </c>
      <c r="M198" s="3">
        <v>150</v>
      </c>
      <c r="N198" t="s">
        <v>47</v>
      </c>
      <c r="O198" t="s">
        <v>10</v>
      </c>
      <c r="P198" t="s">
        <v>115</v>
      </c>
      <c r="Q198" t="s">
        <v>144</v>
      </c>
      <c r="R198" s="3">
        <v>300</v>
      </c>
      <c r="S198" s="4">
        <v>0</v>
      </c>
      <c r="T198" t="s">
        <v>145</v>
      </c>
      <c r="U198">
        <v>300</v>
      </c>
      <c r="V198">
        <v>1</v>
      </c>
      <c r="W198"/>
    </row>
    <row r="199" spans="1:23" x14ac:dyDescent="0.3">
      <c r="A199">
        <v>198</v>
      </c>
      <c r="B199" s="1">
        <v>45489</v>
      </c>
      <c r="C199" t="s">
        <v>160</v>
      </c>
      <c r="D199">
        <v>2024</v>
      </c>
      <c r="E199" t="s">
        <v>9</v>
      </c>
      <c r="F199" t="s">
        <v>7</v>
      </c>
      <c r="G199" t="s">
        <v>10</v>
      </c>
      <c r="H199" t="s">
        <v>66</v>
      </c>
      <c r="I199" t="s">
        <v>59</v>
      </c>
      <c r="J199" t="s">
        <v>67</v>
      </c>
      <c r="K199" s="2">
        <v>5</v>
      </c>
      <c r="L199" t="s">
        <v>143</v>
      </c>
      <c r="M199" s="3">
        <v>20</v>
      </c>
      <c r="N199" t="s">
        <v>49</v>
      </c>
      <c r="O199" t="s">
        <v>10</v>
      </c>
      <c r="P199" t="s">
        <v>117</v>
      </c>
      <c r="Q199" t="s">
        <v>148</v>
      </c>
      <c r="R199" s="3">
        <v>100</v>
      </c>
      <c r="S199" s="4">
        <v>7</v>
      </c>
      <c r="T199" t="s">
        <v>145</v>
      </c>
      <c r="U199">
        <v>93</v>
      </c>
      <c r="V199">
        <v>1</v>
      </c>
      <c r="W199"/>
    </row>
    <row r="200" spans="1:23" x14ac:dyDescent="0.3">
      <c r="A200">
        <v>199</v>
      </c>
      <c r="B200" s="1">
        <v>45490</v>
      </c>
      <c r="C200" t="s">
        <v>160</v>
      </c>
      <c r="D200">
        <v>2024</v>
      </c>
      <c r="E200" t="s">
        <v>12</v>
      </c>
      <c r="F200" t="s">
        <v>7</v>
      </c>
      <c r="G200" t="s">
        <v>13</v>
      </c>
      <c r="H200" t="s">
        <v>69</v>
      </c>
      <c r="I200" t="s">
        <v>59</v>
      </c>
      <c r="J200" t="s">
        <v>67</v>
      </c>
      <c r="K200" s="2">
        <v>1</v>
      </c>
      <c r="L200" t="s">
        <v>143</v>
      </c>
      <c r="M200" s="3">
        <v>50</v>
      </c>
      <c r="N200" t="s">
        <v>51</v>
      </c>
      <c r="O200" t="s">
        <v>13</v>
      </c>
      <c r="P200" t="s">
        <v>113</v>
      </c>
      <c r="Q200" t="s">
        <v>144</v>
      </c>
      <c r="R200" s="3">
        <v>50</v>
      </c>
      <c r="S200" s="4">
        <v>0</v>
      </c>
      <c r="T200" t="s">
        <v>145</v>
      </c>
      <c r="U200">
        <v>50</v>
      </c>
      <c r="V200">
        <v>1</v>
      </c>
      <c r="W200"/>
    </row>
    <row r="201" spans="1:23" x14ac:dyDescent="0.3">
      <c r="A201">
        <v>200</v>
      </c>
      <c r="B201" s="1">
        <v>45491</v>
      </c>
      <c r="C201" t="s">
        <v>160</v>
      </c>
      <c r="D201">
        <v>2024</v>
      </c>
      <c r="E201" t="s">
        <v>15</v>
      </c>
      <c r="F201" t="s">
        <v>7</v>
      </c>
      <c r="G201" t="s">
        <v>16</v>
      </c>
      <c r="H201" t="s">
        <v>71</v>
      </c>
      <c r="I201" t="s">
        <v>63</v>
      </c>
      <c r="J201" t="s">
        <v>64</v>
      </c>
      <c r="K201" s="2">
        <v>3</v>
      </c>
      <c r="L201" t="s">
        <v>143</v>
      </c>
      <c r="M201" s="3">
        <v>300</v>
      </c>
      <c r="N201" t="s">
        <v>45</v>
      </c>
      <c r="O201" t="s">
        <v>6</v>
      </c>
      <c r="P201" t="s">
        <v>113</v>
      </c>
      <c r="Q201" t="s">
        <v>146</v>
      </c>
      <c r="R201" s="3">
        <v>900</v>
      </c>
      <c r="S201" s="4">
        <v>45</v>
      </c>
      <c r="T201" t="s">
        <v>145</v>
      </c>
      <c r="U201">
        <v>855</v>
      </c>
      <c r="V201">
        <v>1</v>
      </c>
      <c r="W201"/>
    </row>
    <row r="202" spans="1:23" x14ac:dyDescent="0.3">
      <c r="A202">
        <v>201</v>
      </c>
      <c r="B202" s="1">
        <v>45492</v>
      </c>
      <c r="C202" t="s">
        <v>160</v>
      </c>
      <c r="D202">
        <v>2024</v>
      </c>
      <c r="E202" t="s">
        <v>5</v>
      </c>
      <c r="F202" t="s">
        <v>7</v>
      </c>
      <c r="G202" t="s">
        <v>6</v>
      </c>
      <c r="H202" t="s">
        <v>62</v>
      </c>
      <c r="I202" t="s">
        <v>63</v>
      </c>
      <c r="J202" t="s">
        <v>64</v>
      </c>
      <c r="K202" s="2">
        <v>2</v>
      </c>
      <c r="L202" t="s">
        <v>143</v>
      </c>
      <c r="M202" s="3">
        <v>150</v>
      </c>
      <c r="N202" t="s">
        <v>51</v>
      </c>
      <c r="O202" t="s">
        <v>6</v>
      </c>
      <c r="P202" t="s">
        <v>113</v>
      </c>
      <c r="Q202" t="s">
        <v>144</v>
      </c>
      <c r="R202" s="3">
        <v>300</v>
      </c>
      <c r="S202" s="4">
        <v>15</v>
      </c>
      <c r="T202" t="s">
        <v>145</v>
      </c>
      <c r="U202">
        <v>285</v>
      </c>
      <c r="V202">
        <v>1</v>
      </c>
      <c r="W202"/>
    </row>
    <row r="203" spans="1:23" x14ac:dyDescent="0.3">
      <c r="A203">
        <v>202</v>
      </c>
      <c r="B203" s="1">
        <v>45493</v>
      </c>
      <c r="C203" t="s">
        <v>160</v>
      </c>
      <c r="D203">
        <v>2024</v>
      </c>
      <c r="E203" t="s">
        <v>5</v>
      </c>
      <c r="F203" t="s">
        <v>7</v>
      </c>
      <c r="G203" t="s">
        <v>6</v>
      </c>
      <c r="H203" t="s">
        <v>62</v>
      </c>
      <c r="I203" t="s">
        <v>63</v>
      </c>
      <c r="J203" t="s">
        <v>64</v>
      </c>
      <c r="K203" s="2">
        <v>1</v>
      </c>
      <c r="L203" t="s">
        <v>143</v>
      </c>
      <c r="M203" s="3">
        <v>150</v>
      </c>
      <c r="N203" t="s">
        <v>51</v>
      </c>
      <c r="O203" t="s">
        <v>6</v>
      </c>
      <c r="P203" t="s">
        <v>113</v>
      </c>
      <c r="Q203" t="s">
        <v>144</v>
      </c>
      <c r="R203" s="3">
        <v>150</v>
      </c>
      <c r="S203" s="4">
        <v>0</v>
      </c>
      <c r="T203" t="s">
        <v>145</v>
      </c>
      <c r="U203">
        <v>150</v>
      </c>
      <c r="V203">
        <v>1</v>
      </c>
      <c r="W203"/>
    </row>
    <row r="204" spans="1:23" x14ac:dyDescent="0.3">
      <c r="A204">
        <v>203</v>
      </c>
      <c r="B204" s="1">
        <v>45494</v>
      </c>
      <c r="C204" t="s">
        <v>160</v>
      </c>
      <c r="D204">
        <v>2024</v>
      </c>
      <c r="E204" t="s">
        <v>12</v>
      </c>
      <c r="F204" t="s">
        <v>7</v>
      </c>
      <c r="G204" t="s">
        <v>13</v>
      </c>
      <c r="H204" t="s">
        <v>71</v>
      </c>
      <c r="I204" t="s">
        <v>63</v>
      </c>
      <c r="J204" t="s">
        <v>64</v>
      </c>
      <c r="K204" s="2">
        <v>3</v>
      </c>
      <c r="L204" t="s">
        <v>143</v>
      </c>
      <c r="M204" s="3">
        <v>300</v>
      </c>
      <c r="N204" t="s">
        <v>47</v>
      </c>
      <c r="O204" t="s">
        <v>10</v>
      </c>
      <c r="P204" t="s">
        <v>115</v>
      </c>
      <c r="Q204" t="s">
        <v>144</v>
      </c>
      <c r="R204" s="3">
        <v>900</v>
      </c>
      <c r="S204" s="4">
        <v>63</v>
      </c>
      <c r="T204" t="s">
        <v>145</v>
      </c>
      <c r="U204">
        <v>837</v>
      </c>
      <c r="V204">
        <v>1</v>
      </c>
      <c r="W204"/>
    </row>
    <row r="205" spans="1:23" x14ac:dyDescent="0.3">
      <c r="A205">
        <v>204</v>
      </c>
      <c r="B205" s="1">
        <v>45495</v>
      </c>
      <c r="C205" t="s">
        <v>160</v>
      </c>
      <c r="D205">
        <v>2024</v>
      </c>
      <c r="E205" t="s">
        <v>15</v>
      </c>
      <c r="F205" t="s">
        <v>7</v>
      </c>
      <c r="G205" t="s">
        <v>16</v>
      </c>
      <c r="H205" t="s">
        <v>58</v>
      </c>
      <c r="I205" t="s">
        <v>59</v>
      </c>
      <c r="J205" t="s">
        <v>60</v>
      </c>
      <c r="K205" s="2">
        <v>5</v>
      </c>
      <c r="L205" t="s">
        <v>143</v>
      </c>
      <c r="M205" s="3">
        <v>800</v>
      </c>
      <c r="N205" t="s">
        <v>49</v>
      </c>
      <c r="O205" t="s">
        <v>10</v>
      </c>
      <c r="P205" t="s">
        <v>117</v>
      </c>
      <c r="Q205" t="s">
        <v>146</v>
      </c>
      <c r="R205" s="3">
        <v>4000</v>
      </c>
      <c r="S205" s="4">
        <v>280</v>
      </c>
      <c r="T205" t="s">
        <v>150</v>
      </c>
      <c r="U205">
        <v>3720</v>
      </c>
      <c r="V205">
        <v>1</v>
      </c>
      <c r="W205"/>
    </row>
    <row r="206" spans="1:23" x14ac:dyDescent="0.3">
      <c r="A206">
        <v>205</v>
      </c>
      <c r="B206" s="1">
        <v>45496</v>
      </c>
      <c r="C206" t="s">
        <v>160</v>
      </c>
      <c r="D206">
        <v>2024</v>
      </c>
      <c r="E206" t="s">
        <v>15</v>
      </c>
      <c r="F206" t="s">
        <v>7</v>
      </c>
      <c r="G206" t="s">
        <v>16</v>
      </c>
      <c r="H206" t="s">
        <v>66</v>
      </c>
      <c r="I206" t="s">
        <v>59</v>
      </c>
      <c r="J206" t="s">
        <v>67</v>
      </c>
      <c r="K206" s="2">
        <v>2</v>
      </c>
      <c r="L206" t="s">
        <v>143</v>
      </c>
      <c r="M206" s="3">
        <v>20</v>
      </c>
      <c r="N206" t="s">
        <v>45</v>
      </c>
      <c r="O206" t="s">
        <v>16</v>
      </c>
      <c r="P206" t="s">
        <v>113</v>
      </c>
      <c r="Q206" t="s">
        <v>144</v>
      </c>
      <c r="R206" s="3">
        <v>40</v>
      </c>
      <c r="S206" s="4">
        <v>0</v>
      </c>
      <c r="T206" t="s">
        <v>145</v>
      </c>
      <c r="U206">
        <v>40</v>
      </c>
      <c r="V206">
        <v>1</v>
      </c>
      <c r="W206"/>
    </row>
    <row r="207" spans="1:23" x14ac:dyDescent="0.3">
      <c r="A207">
        <v>206</v>
      </c>
      <c r="B207" s="1">
        <v>45497</v>
      </c>
      <c r="C207" t="s">
        <v>160</v>
      </c>
      <c r="D207">
        <v>2024</v>
      </c>
      <c r="E207" t="s">
        <v>9</v>
      </c>
      <c r="F207" t="s">
        <v>7</v>
      </c>
      <c r="G207" t="s">
        <v>10</v>
      </c>
      <c r="H207" t="s">
        <v>69</v>
      </c>
      <c r="I207" t="s">
        <v>59</v>
      </c>
      <c r="J207" t="s">
        <v>67</v>
      </c>
      <c r="K207" s="2"/>
      <c r="L207" t="s">
        <v>147</v>
      </c>
      <c r="M207" s="3">
        <v>50</v>
      </c>
      <c r="N207" t="s">
        <v>51</v>
      </c>
      <c r="O207" t="s">
        <v>13</v>
      </c>
      <c r="P207" t="s">
        <v>113</v>
      </c>
      <c r="Q207" t="s">
        <v>148</v>
      </c>
      <c r="R207" s="3"/>
      <c r="S207" s="4"/>
      <c r="V207">
        <v>1</v>
      </c>
      <c r="W207"/>
    </row>
    <row r="208" spans="1:23" x14ac:dyDescent="0.3">
      <c r="A208">
        <v>207</v>
      </c>
      <c r="B208" s="1">
        <v>45498</v>
      </c>
      <c r="C208" t="s">
        <v>160</v>
      </c>
      <c r="D208">
        <v>2024</v>
      </c>
      <c r="E208" t="s">
        <v>9</v>
      </c>
      <c r="F208" t="s">
        <v>7</v>
      </c>
      <c r="G208" t="s">
        <v>10</v>
      </c>
      <c r="H208" t="s">
        <v>73</v>
      </c>
      <c r="I208" t="s">
        <v>59</v>
      </c>
      <c r="J208" t="s">
        <v>74</v>
      </c>
      <c r="K208" s="2">
        <v>4</v>
      </c>
      <c r="L208" t="s">
        <v>143</v>
      </c>
      <c r="M208" s="3">
        <v>200</v>
      </c>
      <c r="N208" t="s">
        <v>47</v>
      </c>
      <c r="O208" t="s">
        <v>6</v>
      </c>
      <c r="P208" t="s">
        <v>115</v>
      </c>
      <c r="Q208" t="s">
        <v>144</v>
      </c>
      <c r="R208" s="3">
        <v>800</v>
      </c>
      <c r="S208" s="4">
        <v>40</v>
      </c>
      <c r="T208" t="s">
        <v>145</v>
      </c>
      <c r="U208">
        <v>760</v>
      </c>
      <c r="V208">
        <v>1</v>
      </c>
      <c r="W208"/>
    </row>
    <row r="209" spans="1:23" x14ac:dyDescent="0.3">
      <c r="A209">
        <v>208</v>
      </c>
      <c r="B209" s="1">
        <v>45499</v>
      </c>
      <c r="C209" t="s">
        <v>160</v>
      </c>
      <c r="D209">
        <v>2024</v>
      </c>
      <c r="E209" t="s">
        <v>5</v>
      </c>
      <c r="F209" t="s">
        <v>7</v>
      </c>
      <c r="G209" t="s">
        <v>6</v>
      </c>
      <c r="H209" t="s">
        <v>71</v>
      </c>
      <c r="I209" t="s">
        <v>63</v>
      </c>
      <c r="J209" t="s">
        <v>64</v>
      </c>
      <c r="K209" s="2">
        <v>1</v>
      </c>
      <c r="L209" t="s">
        <v>143</v>
      </c>
      <c r="M209" s="3">
        <v>300</v>
      </c>
      <c r="N209" t="s">
        <v>51</v>
      </c>
      <c r="O209" t="s">
        <v>6</v>
      </c>
      <c r="P209" t="s">
        <v>113</v>
      </c>
      <c r="Q209" t="s">
        <v>146</v>
      </c>
      <c r="R209" s="3">
        <v>300</v>
      </c>
      <c r="S209" s="4">
        <v>0</v>
      </c>
      <c r="T209" t="s">
        <v>145</v>
      </c>
      <c r="U209">
        <v>300</v>
      </c>
      <c r="V209">
        <v>1</v>
      </c>
      <c r="W209"/>
    </row>
    <row r="210" spans="1:23" x14ac:dyDescent="0.3">
      <c r="A210">
        <v>209</v>
      </c>
      <c r="B210" s="1">
        <v>45500</v>
      </c>
      <c r="C210" t="s">
        <v>160</v>
      </c>
      <c r="D210">
        <v>2024</v>
      </c>
      <c r="E210" t="s">
        <v>12</v>
      </c>
      <c r="F210" t="s">
        <v>7</v>
      </c>
      <c r="G210" t="s">
        <v>13</v>
      </c>
      <c r="H210" t="s">
        <v>58</v>
      </c>
      <c r="I210" t="s">
        <v>59</v>
      </c>
      <c r="J210" t="s">
        <v>60</v>
      </c>
      <c r="K210" s="2">
        <v>2</v>
      </c>
      <c r="L210" t="s">
        <v>143</v>
      </c>
      <c r="M210" s="3">
        <v>800</v>
      </c>
      <c r="N210" t="s">
        <v>49</v>
      </c>
      <c r="O210" t="s">
        <v>10</v>
      </c>
      <c r="P210" t="s">
        <v>117</v>
      </c>
      <c r="Q210" t="s">
        <v>144</v>
      </c>
      <c r="R210" s="3">
        <v>1600</v>
      </c>
      <c r="S210" s="4">
        <v>0</v>
      </c>
      <c r="T210" t="s">
        <v>149</v>
      </c>
      <c r="U210">
        <v>1600</v>
      </c>
      <c r="V210">
        <v>1</v>
      </c>
      <c r="W210"/>
    </row>
    <row r="211" spans="1:23" x14ac:dyDescent="0.3">
      <c r="A211">
        <v>210</v>
      </c>
      <c r="B211" s="1">
        <v>45501</v>
      </c>
      <c r="C211" t="s">
        <v>160</v>
      </c>
      <c r="D211">
        <v>2024</v>
      </c>
      <c r="E211" t="s">
        <v>15</v>
      </c>
      <c r="F211" t="s">
        <v>7</v>
      </c>
      <c r="G211" t="s">
        <v>16</v>
      </c>
      <c r="H211" t="s">
        <v>62</v>
      </c>
      <c r="I211" t="s">
        <v>63</v>
      </c>
      <c r="J211" t="s">
        <v>64</v>
      </c>
      <c r="K211" s="2">
        <v>3</v>
      </c>
      <c r="L211" t="s">
        <v>143</v>
      </c>
      <c r="M211" s="3">
        <v>150</v>
      </c>
      <c r="N211" t="s">
        <v>45</v>
      </c>
      <c r="O211" t="s">
        <v>16</v>
      </c>
      <c r="P211" t="s">
        <v>113</v>
      </c>
      <c r="Q211" t="s">
        <v>144</v>
      </c>
      <c r="R211" s="3">
        <v>450</v>
      </c>
      <c r="S211" s="4">
        <v>27</v>
      </c>
      <c r="T211" t="s">
        <v>145</v>
      </c>
      <c r="U211">
        <v>423</v>
      </c>
      <c r="V211">
        <v>1</v>
      </c>
      <c r="W211"/>
    </row>
    <row r="212" spans="1:23" x14ac:dyDescent="0.3">
      <c r="A212">
        <v>211</v>
      </c>
      <c r="B212" s="1">
        <v>45502</v>
      </c>
      <c r="C212" t="s">
        <v>160</v>
      </c>
      <c r="D212">
        <v>2024</v>
      </c>
      <c r="E212" t="s">
        <v>15</v>
      </c>
      <c r="F212" t="s">
        <v>7</v>
      </c>
      <c r="G212" t="s">
        <v>16</v>
      </c>
      <c r="H212" t="s">
        <v>66</v>
      </c>
      <c r="I212" t="s">
        <v>59</v>
      </c>
      <c r="J212" t="s">
        <v>67</v>
      </c>
      <c r="K212" s="2">
        <v>1</v>
      </c>
      <c r="L212" t="s">
        <v>143</v>
      </c>
      <c r="M212" s="3">
        <v>20</v>
      </c>
      <c r="N212" t="s">
        <v>51</v>
      </c>
      <c r="O212" t="s">
        <v>6</v>
      </c>
      <c r="P212" t="s">
        <v>113</v>
      </c>
      <c r="Q212" t="s">
        <v>144</v>
      </c>
      <c r="R212" s="3">
        <v>20</v>
      </c>
      <c r="S212" s="4">
        <v>0</v>
      </c>
      <c r="T212" t="s">
        <v>145</v>
      </c>
      <c r="U212">
        <v>20</v>
      </c>
      <c r="V212">
        <v>1</v>
      </c>
      <c r="W212"/>
    </row>
    <row r="213" spans="1:23" x14ac:dyDescent="0.3">
      <c r="A213">
        <v>212</v>
      </c>
      <c r="B213" s="1">
        <v>45503</v>
      </c>
      <c r="C213" t="s">
        <v>160</v>
      </c>
      <c r="D213">
        <v>2024</v>
      </c>
      <c r="E213" t="s">
        <v>5</v>
      </c>
      <c r="F213" t="s">
        <v>7</v>
      </c>
      <c r="G213" t="s">
        <v>6</v>
      </c>
      <c r="H213" t="s">
        <v>69</v>
      </c>
      <c r="I213" t="s">
        <v>59</v>
      </c>
      <c r="J213" t="s">
        <v>67</v>
      </c>
      <c r="K213" s="2">
        <v>2</v>
      </c>
      <c r="L213" t="s">
        <v>143</v>
      </c>
      <c r="M213" s="3">
        <v>50</v>
      </c>
      <c r="N213" t="s">
        <v>47</v>
      </c>
      <c r="O213" t="s">
        <v>13</v>
      </c>
      <c r="P213" t="s">
        <v>115</v>
      </c>
      <c r="Q213" t="s">
        <v>146</v>
      </c>
      <c r="R213" s="3">
        <v>100</v>
      </c>
      <c r="S213" s="4">
        <v>4</v>
      </c>
      <c r="T213" t="s">
        <v>145</v>
      </c>
      <c r="U213">
        <v>96</v>
      </c>
      <c r="V213">
        <v>1</v>
      </c>
      <c r="W213"/>
    </row>
    <row r="214" spans="1:23" x14ac:dyDescent="0.3">
      <c r="A214">
        <v>213</v>
      </c>
      <c r="B214" s="1">
        <v>45504</v>
      </c>
      <c r="C214" t="s">
        <v>160</v>
      </c>
      <c r="D214">
        <v>2024</v>
      </c>
      <c r="E214" t="s">
        <v>9</v>
      </c>
      <c r="F214" t="s">
        <v>7</v>
      </c>
      <c r="G214" t="s">
        <v>10</v>
      </c>
      <c r="H214" t="s">
        <v>71</v>
      </c>
      <c r="I214" t="s">
        <v>63</v>
      </c>
      <c r="J214" t="s">
        <v>64</v>
      </c>
      <c r="K214" s="2"/>
      <c r="L214" t="s">
        <v>147</v>
      </c>
      <c r="M214" s="3">
        <v>300</v>
      </c>
      <c r="N214" t="s">
        <v>49</v>
      </c>
      <c r="O214" t="s">
        <v>10</v>
      </c>
      <c r="P214" t="s">
        <v>117</v>
      </c>
      <c r="Q214" t="s">
        <v>144</v>
      </c>
      <c r="R214" s="3"/>
      <c r="S214" s="4"/>
      <c r="V214">
        <v>1</v>
      </c>
      <c r="W214"/>
    </row>
    <row r="215" spans="1:23" x14ac:dyDescent="0.3">
      <c r="A215">
        <v>214</v>
      </c>
      <c r="B215" s="1">
        <v>45299</v>
      </c>
      <c r="C215" t="s">
        <v>153</v>
      </c>
      <c r="D215">
        <v>2024</v>
      </c>
      <c r="E215" t="s">
        <v>12</v>
      </c>
      <c r="F215" t="s">
        <v>7</v>
      </c>
      <c r="G215" t="s">
        <v>13</v>
      </c>
      <c r="H215" t="s">
        <v>73</v>
      </c>
      <c r="I215" t="s">
        <v>59</v>
      </c>
      <c r="J215" t="s">
        <v>74</v>
      </c>
      <c r="K215" s="2">
        <v>3</v>
      </c>
      <c r="L215" t="s">
        <v>143</v>
      </c>
      <c r="M215" s="3">
        <v>200</v>
      </c>
      <c r="N215" t="s">
        <v>51</v>
      </c>
      <c r="O215" t="s">
        <v>6</v>
      </c>
      <c r="P215" t="s">
        <v>113</v>
      </c>
      <c r="Q215" t="s">
        <v>148</v>
      </c>
      <c r="R215" s="3">
        <v>600</v>
      </c>
      <c r="S215" s="4">
        <v>30</v>
      </c>
      <c r="T215" t="s">
        <v>145</v>
      </c>
      <c r="U215">
        <v>570</v>
      </c>
      <c r="V215">
        <v>1</v>
      </c>
      <c r="W215"/>
    </row>
    <row r="216" spans="1:23" x14ac:dyDescent="0.3">
      <c r="A216">
        <v>215</v>
      </c>
      <c r="B216" s="1">
        <v>45330</v>
      </c>
      <c r="C216" t="s">
        <v>157</v>
      </c>
      <c r="D216">
        <v>2024</v>
      </c>
      <c r="E216" t="s">
        <v>15</v>
      </c>
      <c r="F216" t="s">
        <v>7</v>
      </c>
      <c r="G216" t="s">
        <v>16</v>
      </c>
      <c r="H216" t="s">
        <v>58</v>
      </c>
      <c r="I216" t="s">
        <v>59</v>
      </c>
      <c r="J216" t="s">
        <v>60</v>
      </c>
      <c r="K216" s="2">
        <v>2</v>
      </c>
      <c r="L216" t="s">
        <v>143</v>
      </c>
      <c r="M216" s="3">
        <v>800</v>
      </c>
      <c r="N216" t="s">
        <v>45</v>
      </c>
      <c r="O216" t="s">
        <v>16</v>
      </c>
      <c r="P216" t="s">
        <v>113</v>
      </c>
      <c r="Q216" t="s">
        <v>144</v>
      </c>
      <c r="R216" s="3">
        <v>1600</v>
      </c>
      <c r="S216" s="4">
        <v>0</v>
      </c>
      <c r="T216" t="s">
        <v>149</v>
      </c>
      <c r="U216">
        <v>1600</v>
      </c>
      <c r="V216">
        <v>1</v>
      </c>
      <c r="W216"/>
    </row>
    <row r="217" spans="1:23" x14ac:dyDescent="0.3">
      <c r="A217">
        <v>216</v>
      </c>
      <c r="B217" s="1">
        <v>45359</v>
      </c>
      <c r="C217" t="s">
        <v>158</v>
      </c>
      <c r="D217">
        <v>2024</v>
      </c>
      <c r="E217" t="s">
        <v>5</v>
      </c>
      <c r="F217" t="s">
        <v>7</v>
      </c>
      <c r="G217" t="s">
        <v>6</v>
      </c>
      <c r="H217" t="s">
        <v>62</v>
      </c>
      <c r="I217" t="s">
        <v>63</v>
      </c>
      <c r="J217" t="s">
        <v>64</v>
      </c>
      <c r="K217" s="2">
        <v>1</v>
      </c>
      <c r="L217" t="s">
        <v>143</v>
      </c>
      <c r="M217" s="3">
        <v>150</v>
      </c>
      <c r="N217" t="s">
        <v>51</v>
      </c>
      <c r="O217" t="s">
        <v>6</v>
      </c>
      <c r="P217" t="s">
        <v>113</v>
      </c>
      <c r="Q217" t="s">
        <v>146</v>
      </c>
      <c r="R217" s="3">
        <v>150</v>
      </c>
      <c r="S217" s="4">
        <v>0</v>
      </c>
      <c r="T217" t="s">
        <v>145</v>
      </c>
      <c r="U217">
        <v>150</v>
      </c>
      <c r="V217">
        <v>1</v>
      </c>
      <c r="W217"/>
    </row>
    <row r="218" spans="1:23" x14ac:dyDescent="0.3">
      <c r="A218">
        <v>217</v>
      </c>
      <c r="B218" s="1">
        <v>45390</v>
      </c>
      <c r="C218" t="s">
        <v>156</v>
      </c>
      <c r="D218">
        <v>2024</v>
      </c>
      <c r="E218" t="s">
        <v>9</v>
      </c>
      <c r="F218" t="s">
        <v>7</v>
      </c>
      <c r="G218" t="s">
        <v>10</v>
      </c>
      <c r="H218" t="s">
        <v>66</v>
      </c>
      <c r="I218" t="s">
        <v>59</v>
      </c>
      <c r="J218" t="s">
        <v>67</v>
      </c>
      <c r="K218" s="2">
        <v>2</v>
      </c>
      <c r="L218" t="s">
        <v>143</v>
      </c>
      <c r="M218" s="3">
        <v>20</v>
      </c>
      <c r="N218" t="s">
        <v>47</v>
      </c>
      <c r="O218" t="s">
        <v>10</v>
      </c>
      <c r="P218" t="s">
        <v>115</v>
      </c>
      <c r="Q218" t="s">
        <v>144</v>
      </c>
      <c r="R218" s="3">
        <v>40</v>
      </c>
      <c r="S218" s="4">
        <v>0</v>
      </c>
      <c r="T218" t="s">
        <v>145</v>
      </c>
      <c r="U218">
        <v>40</v>
      </c>
      <c r="V218">
        <v>1</v>
      </c>
      <c r="W218"/>
    </row>
    <row r="219" spans="1:23" x14ac:dyDescent="0.3">
      <c r="A219">
        <v>218</v>
      </c>
      <c r="B219" s="1">
        <v>45420</v>
      </c>
      <c r="C219" t="s">
        <v>159</v>
      </c>
      <c r="D219">
        <v>2024</v>
      </c>
      <c r="E219" t="s">
        <v>12</v>
      </c>
      <c r="F219" t="s">
        <v>7</v>
      </c>
      <c r="G219" t="s">
        <v>13</v>
      </c>
      <c r="H219" t="s">
        <v>69</v>
      </c>
      <c r="I219" t="s">
        <v>59</v>
      </c>
      <c r="J219" t="s">
        <v>67</v>
      </c>
      <c r="K219" s="2">
        <v>5</v>
      </c>
      <c r="L219" t="s">
        <v>143</v>
      </c>
      <c r="M219" s="3">
        <v>50</v>
      </c>
      <c r="N219" t="s">
        <v>49</v>
      </c>
      <c r="O219" t="s">
        <v>13</v>
      </c>
      <c r="P219" t="s">
        <v>117</v>
      </c>
      <c r="Q219" t="s">
        <v>144</v>
      </c>
      <c r="R219" s="3">
        <v>250</v>
      </c>
      <c r="S219" s="4">
        <v>10</v>
      </c>
      <c r="T219" t="s">
        <v>145</v>
      </c>
      <c r="U219">
        <v>240</v>
      </c>
      <c r="V219">
        <v>1</v>
      </c>
      <c r="W219"/>
    </row>
    <row r="220" spans="1:23" x14ac:dyDescent="0.3">
      <c r="A220">
        <v>219</v>
      </c>
      <c r="B220" s="1">
        <v>45451</v>
      </c>
      <c r="C220" t="s">
        <v>164</v>
      </c>
      <c r="D220">
        <v>2024</v>
      </c>
      <c r="E220" t="s">
        <v>15</v>
      </c>
      <c r="F220" t="s">
        <v>7</v>
      </c>
      <c r="G220" t="s">
        <v>16</v>
      </c>
      <c r="H220" t="s">
        <v>71</v>
      </c>
      <c r="I220" t="s">
        <v>63</v>
      </c>
      <c r="J220" t="s">
        <v>64</v>
      </c>
      <c r="K220" s="2">
        <v>4</v>
      </c>
      <c r="L220" t="s">
        <v>143</v>
      </c>
      <c r="M220" s="3">
        <v>300</v>
      </c>
      <c r="N220" t="s">
        <v>51</v>
      </c>
      <c r="O220" t="s">
        <v>6</v>
      </c>
      <c r="P220" t="s">
        <v>113</v>
      </c>
      <c r="Q220" t="s">
        <v>144</v>
      </c>
      <c r="R220" s="3">
        <v>1200</v>
      </c>
      <c r="S220" s="4">
        <v>60</v>
      </c>
      <c r="T220" t="s">
        <v>149</v>
      </c>
      <c r="U220">
        <v>1140</v>
      </c>
      <c r="V220">
        <v>1</v>
      </c>
      <c r="W220"/>
    </row>
    <row r="221" spans="1:23" x14ac:dyDescent="0.3">
      <c r="A221">
        <v>220</v>
      </c>
      <c r="B221" s="1">
        <v>45481</v>
      </c>
      <c r="C221" t="s">
        <v>160</v>
      </c>
      <c r="D221">
        <v>2024</v>
      </c>
      <c r="E221" t="s">
        <v>15</v>
      </c>
      <c r="F221" t="s">
        <v>7</v>
      </c>
      <c r="G221" t="s">
        <v>16</v>
      </c>
      <c r="H221" t="s">
        <v>58</v>
      </c>
      <c r="I221" t="s">
        <v>59</v>
      </c>
      <c r="J221" t="s">
        <v>60</v>
      </c>
      <c r="K221" s="2"/>
      <c r="L221" t="s">
        <v>147</v>
      </c>
      <c r="M221" s="3">
        <v>800</v>
      </c>
      <c r="N221" t="s">
        <v>45</v>
      </c>
      <c r="O221" t="s">
        <v>16</v>
      </c>
      <c r="P221" t="s">
        <v>113</v>
      </c>
      <c r="Q221" t="s">
        <v>146</v>
      </c>
      <c r="R221" s="3"/>
      <c r="S221" s="4"/>
      <c r="V221">
        <v>1</v>
      </c>
      <c r="W221"/>
    </row>
    <row r="222" spans="1:23" x14ac:dyDescent="0.3">
      <c r="A222">
        <v>221</v>
      </c>
      <c r="B222" s="1">
        <v>45512</v>
      </c>
      <c r="C222" t="s">
        <v>154</v>
      </c>
      <c r="D222">
        <v>2024</v>
      </c>
      <c r="E222" t="s">
        <v>5</v>
      </c>
      <c r="F222" t="s">
        <v>7</v>
      </c>
      <c r="G222" t="s">
        <v>6</v>
      </c>
      <c r="H222" t="s">
        <v>62</v>
      </c>
      <c r="I222" t="s">
        <v>63</v>
      </c>
      <c r="J222" t="s">
        <v>64</v>
      </c>
      <c r="K222" s="2">
        <v>3</v>
      </c>
      <c r="L222" t="s">
        <v>143</v>
      </c>
      <c r="M222" s="3">
        <v>150</v>
      </c>
      <c r="N222" t="s">
        <v>51</v>
      </c>
      <c r="O222" t="s">
        <v>6</v>
      </c>
      <c r="P222" t="s">
        <v>113</v>
      </c>
      <c r="Q222" t="s">
        <v>144</v>
      </c>
      <c r="R222" s="3">
        <v>450</v>
      </c>
      <c r="S222" s="4">
        <v>22.5</v>
      </c>
      <c r="T222" t="s">
        <v>145</v>
      </c>
      <c r="U222">
        <v>427.5</v>
      </c>
      <c r="V222">
        <v>1</v>
      </c>
      <c r="W222"/>
    </row>
    <row r="223" spans="1:23" x14ac:dyDescent="0.3">
      <c r="A223">
        <v>222</v>
      </c>
      <c r="B223" s="1">
        <v>45543</v>
      </c>
      <c r="C223" t="s">
        <v>161</v>
      </c>
      <c r="D223">
        <v>2024</v>
      </c>
      <c r="E223" t="s">
        <v>12</v>
      </c>
      <c r="F223" t="s">
        <v>7</v>
      </c>
      <c r="G223" t="s">
        <v>13</v>
      </c>
      <c r="H223" t="s">
        <v>66</v>
      </c>
      <c r="I223" t="s">
        <v>59</v>
      </c>
      <c r="J223" t="s">
        <v>67</v>
      </c>
      <c r="K223" s="2">
        <v>1</v>
      </c>
      <c r="L223" t="s">
        <v>143</v>
      </c>
      <c r="M223" s="3">
        <v>20</v>
      </c>
      <c r="N223" t="s">
        <v>47</v>
      </c>
      <c r="O223" t="s">
        <v>10</v>
      </c>
      <c r="P223" t="s">
        <v>115</v>
      </c>
      <c r="Q223" t="s">
        <v>148</v>
      </c>
      <c r="R223" s="3">
        <v>20</v>
      </c>
      <c r="S223" s="4">
        <v>0</v>
      </c>
      <c r="T223" t="s">
        <v>145</v>
      </c>
      <c r="U223">
        <v>20</v>
      </c>
      <c r="V223">
        <v>1</v>
      </c>
      <c r="W223"/>
    </row>
    <row r="224" spans="1:23" x14ac:dyDescent="0.3">
      <c r="A224">
        <v>223</v>
      </c>
      <c r="B224" s="1">
        <v>45573</v>
      </c>
      <c r="C224" t="s">
        <v>155</v>
      </c>
      <c r="D224">
        <v>2024</v>
      </c>
      <c r="E224" t="s">
        <v>9</v>
      </c>
      <c r="F224" t="s">
        <v>7</v>
      </c>
      <c r="G224" t="s">
        <v>10</v>
      </c>
      <c r="H224" t="s">
        <v>73</v>
      </c>
      <c r="I224" t="s">
        <v>59</v>
      </c>
      <c r="J224" t="s">
        <v>74</v>
      </c>
      <c r="K224" s="2">
        <v>2</v>
      </c>
      <c r="L224" t="s">
        <v>143</v>
      </c>
      <c r="M224" s="3">
        <v>200</v>
      </c>
      <c r="N224" t="s">
        <v>49</v>
      </c>
      <c r="O224" t="s">
        <v>10</v>
      </c>
      <c r="P224" t="s">
        <v>117</v>
      </c>
      <c r="Q224" t="s">
        <v>144</v>
      </c>
      <c r="R224" s="3">
        <v>400</v>
      </c>
      <c r="S224" s="4">
        <v>0</v>
      </c>
      <c r="T224" t="s">
        <v>145</v>
      </c>
      <c r="U224">
        <v>400</v>
      </c>
      <c r="V224">
        <v>1</v>
      </c>
      <c r="W224"/>
    </row>
    <row r="225" spans="1:23" x14ac:dyDescent="0.3">
      <c r="A225">
        <v>224</v>
      </c>
      <c r="B225" s="1">
        <v>45604</v>
      </c>
      <c r="C225" t="s">
        <v>162</v>
      </c>
      <c r="D225">
        <v>2024</v>
      </c>
      <c r="E225" t="s">
        <v>15</v>
      </c>
      <c r="F225" t="s">
        <v>7</v>
      </c>
      <c r="G225" t="s">
        <v>16</v>
      </c>
      <c r="H225" t="s">
        <v>69</v>
      </c>
      <c r="I225" t="s">
        <v>59</v>
      </c>
      <c r="J225" t="s">
        <v>67</v>
      </c>
      <c r="K225" s="2">
        <v>2</v>
      </c>
      <c r="L225" t="s">
        <v>143</v>
      </c>
      <c r="M225" s="3">
        <v>50</v>
      </c>
      <c r="N225" t="s">
        <v>51</v>
      </c>
      <c r="O225" t="s">
        <v>13</v>
      </c>
      <c r="P225" t="s">
        <v>113</v>
      </c>
      <c r="Q225" t="s">
        <v>146</v>
      </c>
      <c r="R225" s="3">
        <v>100</v>
      </c>
      <c r="S225" s="4">
        <v>4</v>
      </c>
      <c r="T225" t="s">
        <v>145</v>
      </c>
      <c r="U225">
        <v>96</v>
      </c>
      <c r="V225">
        <v>1</v>
      </c>
      <c r="W225"/>
    </row>
    <row r="226" spans="1:23" x14ac:dyDescent="0.3">
      <c r="A226">
        <v>225</v>
      </c>
      <c r="B226" s="1">
        <v>45634</v>
      </c>
      <c r="C226" t="s">
        <v>163</v>
      </c>
      <c r="D226">
        <v>2024</v>
      </c>
      <c r="E226" t="s">
        <v>5</v>
      </c>
      <c r="F226" t="s">
        <v>7</v>
      </c>
      <c r="G226" t="s">
        <v>6</v>
      </c>
      <c r="H226" t="s">
        <v>71</v>
      </c>
      <c r="I226" t="s">
        <v>63</v>
      </c>
      <c r="J226" t="s">
        <v>64</v>
      </c>
      <c r="K226" s="2">
        <v>5</v>
      </c>
      <c r="L226" t="s">
        <v>143</v>
      </c>
      <c r="M226" s="3">
        <v>300</v>
      </c>
      <c r="N226" t="s">
        <v>45</v>
      </c>
      <c r="O226" t="s">
        <v>6</v>
      </c>
      <c r="P226" t="s">
        <v>113</v>
      </c>
      <c r="Q226" t="s">
        <v>144</v>
      </c>
      <c r="R226" s="3">
        <v>1500</v>
      </c>
      <c r="S226" s="4">
        <v>75</v>
      </c>
      <c r="T226" t="s">
        <v>149</v>
      </c>
      <c r="U226">
        <v>1425</v>
      </c>
      <c r="V226">
        <v>1</v>
      </c>
      <c r="W226"/>
    </row>
    <row r="227" spans="1:23" x14ac:dyDescent="0.3">
      <c r="A227">
        <v>226</v>
      </c>
      <c r="B227" s="1">
        <v>45517</v>
      </c>
      <c r="C227" t="s">
        <v>154</v>
      </c>
      <c r="D227">
        <v>2024</v>
      </c>
      <c r="E227" t="s">
        <v>12</v>
      </c>
      <c r="F227" t="s">
        <v>7</v>
      </c>
      <c r="G227" t="s">
        <v>13</v>
      </c>
      <c r="H227" t="s">
        <v>58</v>
      </c>
      <c r="I227" t="s">
        <v>59</v>
      </c>
      <c r="J227" t="s">
        <v>60</v>
      </c>
      <c r="K227" s="2">
        <v>3</v>
      </c>
      <c r="L227" t="s">
        <v>143</v>
      </c>
      <c r="M227" s="3">
        <v>800</v>
      </c>
      <c r="N227" t="s">
        <v>51</v>
      </c>
      <c r="O227" t="s">
        <v>6</v>
      </c>
      <c r="P227" t="s">
        <v>113</v>
      </c>
      <c r="Q227" t="s">
        <v>144</v>
      </c>
      <c r="R227" s="3">
        <v>2400</v>
      </c>
      <c r="S227" s="4">
        <v>120</v>
      </c>
      <c r="T227" t="s">
        <v>150</v>
      </c>
      <c r="U227">
        <v>2280</v>
      </c>
      <c r="V227">
        <v>1</v>
      </c>
      <c r="W227"/>
    </row>
    <row r="228" spans="1:23" x14ac:dyDescent="0.3">
      <c r="A228">
        <v>227</v>
      </c>
      <c r="B228" s="1">
        <v>45518</v>
      </c>
      <c r="C228" t="s">
        <v>154</v>
      </c>
      <c r="D228">
        <v>2024</v>
      </c>
      <c r="E228" t="s">
        <v>15</v>
      </c>
      <c r="F228" t="s">
        <v>7</v>
      </c>
      <c r="G228" t="s">
        <v>16</v>
      </c>
      <c r="H228" t="s">
        <v>62</v>
      </c>
      <c r="I228" t="s">
        <v>63</v>
      </c>
      <c r="J228" t="s">
        <v>64</v>
      </c>
      <c r="K228" s="2">
        <v>1</v>
      </c>
      <c r="L228" t="s">
        <v>143</v>
      </c>
      <c r="M228" s="3">
        <v>150</v>
      </c>
      <c r="N228" t="s">
        <v>47</v>
      </c>
      <c r="O228" t="s">
        <v>16</v>
      </c>
      <c r="P228" t="s">
        <v>115</v>
      </c>
      <c r="Q228" t="s">
        <v>144</v>
      </c>
      <c r="R228" s="3">
        <v>150</v>
      </c>
      <c r="S228" s="4">
        <v>0</v>
      </c>
      <c r="T228" t="s">
        <v>145</v>
      </c>
      <c r="U228">
        <v>150</v>
      </c>
      <c r="V228">
        <v>1</v>
      </c>
      <c r="W228"/>
    </row>
    <row r="229" spans="1:23" x14ac:dyDescent="0.3">
      <c r="A229">
        <v>228</v>
      </c>
      <c r="B229" s="1">
        <v>45519</v>
      </c>
      <c r="C229" t="s">
        <v>154</v>
      </c>
      <c r="D229">
        <v>2024</v>
      </c>
      <c r="E229" t="s">
        <v>9</v>
      </c>
      <c r="F229" t="s">
        <v>7</v>
      </c>
      <c r="G229" t="s">
        <v>10</v>
      </c>
      <c r="H229" t="s">
        <v>66</v>
      </c>
      <c r="I229" t="s">
        <v>59</v>
      </c>
      <c r="J229" t="s">
        <v>67</v>
      </c>
      <c r="K229" s="2"/>
      <c r="L229" t="s">
        <v>147</v>
      </c>
      <c r="M229" s="3">
        <v>20</v>
      </c>
      <c r="N229" t="s">
        <v>49</v>
      </c>
      <c r="O229" t="s">
        <v>10</v>
      </c>
      <c r="P229" t="s">
        <v>117</v>
      </c>
      <c r="Q229" t="s">
        <v>146</v>
      </c>
      <c r="R229" s="3"/>
      <c r="S229" s="4"/>
      <c r="V229">
        <v>1</v>
      </c>
      <c r="W229"/>
    </row>
    <row r="230" spans="1:23" x14ac:dyDescent="0.3">
      <c r="A230">
        <v>229</v>
      </c>
      <c r="B230" s="1">
        <v>45520</v>
      </c>
      <c r="C230" t="s">
        <v>154</v>
      </c>
      <c r="D230">
        <v>2024</v>
      </c>
      <c r="E230" t="s">
        <v>5</v>
      </c>
      <c r="F230" t="s">
        <v>7</v>
      </c>
      <c r="G230" t="s">
        <v>6</v>
      </c>
      <c r="H230" t="s">
        <v>69</v>
      </c>
      <c r="I230" t="s">
        <v>59</v>
      </c>
      <c r="J230" t="s">
        <v>67</v>
      </c>
      <c r="K230" s="2">
        <v>2</v>
      </c>
      <c r="L230" t="s">
        <v>143</v>
      </c>
      <c r="M230" s="3">
        <v>50</v>
      </c>
      <c r="N230" t="s">
        <v>51</v>
      </c>
      <c r="O230" t="s">
        <v>6</v>
      </c>
      <c r="P230" t="s">
        <v>113</v>
      </c>
      <c r="Q230" t="s">
        <v>144</v>
      </c>
      <c r="R230" s="3">
        <v>100</v>
      </c>
      <c r="S230" s="4">
        <v>5</v>
      </c>
      <c r="T230" t="s">
        <v>145</v>
      </c>
      <c r="U230">
        <v>95</v>
      </c>
      <c r="V230">
        <v>1</v>
      </c>
      <c r="W230"/>
    </row>
    <row r="231" spans="1:23" x14ac:dyDescent="0.3">
      <c r="A231">
        <v>230</v>
      </c>
      <c r="B231" s="1">
        <v>45521</v>
      </c>
      <c r="C231" t="s">
        <v>154</v>
      </c>
      <c r="D231">
        <v>2024</v>
      </c>
      <c r="E231" t="s">
        <v>12</v>
      </c>
      <c r="F231" t="s">
        <v>7</v>
      </c>
      <c r="G231" t="s">
        <v>13</v>
      </c>
      <c r="H231" t="s">
        <v>71</v>
      </c>
      <c r="I231" t="s">
        <v>63</v>
      </c>
      <c r="J231" t="s">
        <v>64</v>
      </c>
      <c r="K231" s="2">
        <v>4</v>
      </c>
      <c r="L231" t="s">
        <v>143</v>
      </c>
      <c r="M231" s="3">
        <v>300</v>
      </c>
      <c r="N231" t="s">
        <v>45</v>
      </c>
      <c r="O231" t="s">
        <v>10</v>
      </c>
      <c r="P231" t="s">
        <v>113</v>
      </c>
      <c r="Q231" t="s">
        <v>148</v>
      </c>
      <c r="R231" s="3">
        <v>1200</v>
      </c>
      <c r="S231" s="4">
        <v>84</v>
      </c>
      <c r="T231" t="s">
        <v>149</v>
      </c>
      <c r="U231">
        <v>1116</v>
      </c>
      <c r="V231">
        <v>1</v>
      </c>
      <c r="W231"/>
    </row>
    <row r="232" spans="1:23" x14ac:dyDescent="0.3">
      <c r="A232">
        <v>231</v>
      </c>
      <c r="B232" s="1">
        <v>45522</v>
      </c>
      <c r="C232" t="s">
        <v>154</v>
      </c>
      <c r="D232">
        <v>2024</v>
      </c>
      <c r="E232" t="s">
        <v>15</v>
      </c>
      <c r="F232" t="s">
        <v>7</v>
      </c>
      <c r="G232" t="s">
        <v>16</v>
      </c>
      <c r="H232" t="s">
        <v>58</v>
      </c>
      <c r="I232" t="s">
        <v>59</v>
      </c>
      <c r="J232" t="s">
        <v>60</v>
      </c>
      <c r="K232" s="2">
        <v>1</v>
      </c>
      <c r="L232" t="s">
        <v>143</v>
      </c>
      <c r="M232" s="3">
        <v>800</v>
      </c>
      <c r="N232" t="s">
        <v>51</v>
      </c>
      <c r="O232" t="s">
        <v>13</v>
      </c>
      <c r="P232" t="s">
        <v>113</v>
      </c>
      <c r="Q232" t="s">
        <v>144</v>
      </c>
      <c r="R232" s="3">
        <v>800</v>
      </c>
      <c r="S232" s="4">
        <v>0</v>
      </c>
      <c r="T232" t="s">
        <v>145</v>
      </c>
      <c r="U232">
        <v>800</v>
      </c>
      <c r="V232">
        <v>1</v>
      </c>
      <c r="W232"/>
    </row>
    <row r="233" spans="1:23" x14ac:dyDescent="0.3">
      <c r="A233">
        <v>232</v>
      </c>
      <c r="B233" s="1">
        <v>45523</v>
      </c>
      <c r="C233" t="s">
        <v>154</v>
      </c>
      <c r="D233">
        <v>2024</v>
      </c>
      <c r="E233" t="s">
        <v>15</v>
      </c>
      <c r="F233" t="s">
        <v>7</v>
      </c>
      <c r="G233" t="s">
        <v>16</v>
      </c>
      <c r="H233" t="s">
        <v>73</v>
      </c>
      <c r="I233" t="s">
        <v>59</v>
      </c>
      <c r="J233" t="s">
        <v>74</v>
      </c>
      <c r="K233" s="2">
        <v>3</v>
      </c>
      <c r="L233" t="s">
        <v>143</v>
      </c>
      <c r="M233" s="3">
        <v>200</v>
      </c>
      <c r="N233" t="s">
        <v>47</v>
      </c>
      <c r="O233" t="s">
        <v>6</v>
      </c>
      <c r="P233" t="s">
        <v>115</v>
      </c>
      <c r="Q233" t="s">
        <v>146</v>
      </c>
      <c r="R233" s="3">
        <v>600</v>
      </c>
      <c r="S233" s="4">
        <v>30</v>
      </c>
      <c r="T233" t="s">
        <v>145</v>
      </c>
      <c r="U233">
        <v>570</v>
      </c>
      <c r="V233">
        <v>1</v>
      </c>
      <c r="W233"/>
    </row>
    <row r="234" spans="1:23" x14ac:dyDescent="0.3">
      <c r="A234">
        <v>233</v>
      </c>
      <c r="B234" s="1">
        <v>45524</v>
      </c>
      <c r="C234" t="s">
        <v>154</v>
      </c>
      <c r="D234">
        <v>2024</v>
      </c>
      <c r="E234" t="s">
        <v>5</v>
      </c>
      <c r="F234" t="s">
        <v>7</v>
      </c>
      <c r="G234" t="s">
        <v>6</v>
      </c>
      <c r="H234" t="s">
        <v>62</v>
      </c>
      <c r="I234" t="s">
        <v>63</v>
      </c>
      <c r="J234" t="s">
        <v>64</v>
      </c>
      <c r="K234" s="2">
        <v>2</v>
      </c>
      <c r="L234" t="s">
        <v>143</v>
      </c>
      <c r="M234" s="3">
        <v>150</v>
      </c>
      <c r="N234" t="s">
        <v>49</v>
      </c>
      <c r="O234" t="s">
        <v>16</v>
      </c>
      <c r="P234" t="s">
        <v>117</v>
      </c>
      <c r="Q234" t="s">
        <v>144</v>
      </c>
      <c r="R234" s="3">
        <v>300</v>
      </c>
      <c r="S234" s="4">
        <v>0</v>
      </c>
      <c r="T234" t="s">
        <v>145</v>
      </c>
      <c r="U234">
        <v>300</v>
      </c>
      <c r="V234">
        <v>1</v>
      </c>
      <c r="W234"/>
    </row>
    <row r="235" spans="1:23" x14ac:dyDescent="0.3">
      <c r="A235">
        <v>234</v>
      </c>
      <c r="B235" s="1">
        <v>45525</v>
      </c>
      <c r="C235" t="s">
        <v>154</v>
      </c>
      <c r="D235">
        <v>2024</v>
      </c>
      <c r="E235" t="s">
        <v>9</v>
      </c>
      <c r="F235" t="s">
        <v>7</v>
      </c>
      <c r="G235" t="s">
        <v>10</v>
      </c>
      <c r="H235" t="s">
        <v>66</v>
      </c>
      <c r="I235" t="s">
        <v>59</v>
      </c>
      <c r="J235" t="s">
        <v>67</v>
      </c>
      <c r="K235" s="2">
        <v>5</v>
      </c>
      <c r="L235" t="s">
        <v>143</v>
      </c>
      <c r="M235" s="3">
        <v>20</v>
      </c>
      <c r="N235" t="s">
        <v>51</v>
      </c>
      <c r="O235" t="s">
        <v>10</v>
      </c>
      <c r="P235" t="s">
        <v>113</v>
      </c>
      <c r="Q235" t="s">
        <v>144</v>
      </c>
      <c r="R235" s="3">
        <v>100</v>
      </c>
      <c r="S235" s="4">
        <v>7</v>
      </c>
      <c r="T235" t="s">
        <v>145</v>
      </c>
      <c r="U235">
        <v>93</v>
      </c>
      <c r="V235">
        <v>1</v>
      </c>
      <c r="W235"/>
    </row>
    <row r="236" spans="1:23" x14ac:dyDescent="0.3">
      <c r="A236">
        <v>235</v>
      </c>
      <c r="B236" s="1">
        <v>45526</v>
      </c>
      <c r="C236" t="s">
        <v>154</v>
      </c>
      <c r="D236">
        <v>2024</v>
      </c>
      <c r="E236" t="s">
        <v>12</v>
      </c>
      <c r="F236" t="s">
        <v>7</v>
      </c>
      <c r="G236" t="s">
        <v>13</v>
      </c>
      <c r="H236" t="s">
        <v>69</v>
      </c>
      <c r="I236" t="s">
        <v>59</v>
      </c>
      <c r="J236" t="s">
        <v>67</v>
      </c>
      <c r="K236" s="2">
        <v>1</v>
      </c>
      <c r="L236" t="s">
        <v>143</v>
      </c>
      <c r="M236" s="3">
        <v>50</v>
      </c>
      <c r="N236" t="s">
        <v>45</v>
      </c>
      <c r="O236" t="s">
        <v>6</v>
      </c>
      <c r="P236" t="s">
        <v>113</v>
      </c>
      <c r="Q236" t="s">
        <v>144</v>
      </c>
      <c r="R236" s="3">
        <v>50</v>
      </c>
      <c r="S236" s="4">
        <v>0</v>
      </c>
      <c r="T236" t="s">
        <v>145</v>
      </c>
      <c r="U236">
        <v>50</v>
      </c>
      <c r="V236">
        <v>1</v>
      </c>
      <c r="W236"/>
    </row>
    <row r="237" spans="1:23" x14ac:dyDescent="0.3">
      <c r="A237">
        <v>236</v>
      </c>
      <c r="B237" s="1">
        <v>45527</v>
      </c>
      <c r="C237" t="s">
        <v>154</v>
      </c>
      <c r="D237">
        <v>2024</v>
      </c>
      <c r="E237" t="s">
        <v>15</v>
      </c>
      <c r="F237" t="s">
        <v>7</v>
      </c>
      <c r="G237" t="s">
        <v>16</v>
      </c>
      <c r="H237" t="s">
        <v>71</v>
      </c>
      <c r="I237" t="s">
        <v>63</v>
      </c>
      <c r="J237" t="s">
        <v>64</v>
      </c>
      <c r="K237" s="2">
        <v>2</v>
      </c>
      <c r="L237" t="s">
        <v>143</v>
      </c>
      <c r="M237" s="3">
        <v>300</v>
      </c>
      <c r="N237" t="s">
        <v>51</v>
      </c>
      <c r="O237" t="s">
        <v>10</v>
      </c>
      <c r="P237" t="s">
        <v>113</v>
      </c>
      <c r="Q237" t="s">
        <v>146</v>
      </c>
      <c r="R237" s="3">
        <v>600</v>
      </c>
      <c r="S237" s="4">
        <v>0</v>
      </c>
      <c r="T237" t="s">
        <v>145</v>
      </c>
      <c r="U237">
        <v>600</v>
      </c>
      <c r="V237">
        <v>1</v>
      </c>
      <c r="W237"/>
    </row>
    <row r="238" spans="1:23" x14ac:dyDescent="0.3">
      <c r="A238">
        <v>237</v>
      </c>
      <c r="B238" s="1">
        <v>45528</v>
      </c>
      <c r="C238" t="s">
        <v>154</v>
      </c>
      <c r="D238">
        <v>2024</v>
      </c>
      <c r="E238" t="s">
        <v>5</v>
      </c>
      <c r="F238" t="s">
        <v>7</v>
      </c>
      <c r="G238" t="s">
        <v>6</v>
      </c>
      <c r="H238" t="s">
        <v>58</v>
      </c>
      <c r="I238" t="s">
        <v>59</v>
      </c>
      <c r="J238" t="s">
        <v>60</v>
      </c>
      <c r="K238" s="2">
        <v>3</v>
      </c>
      <c r="L238" t="s">
        <v>143</v>
      </c>
      <c r="M238" s="3">
        <v>800</v>
      </c>
      <c r="N238" t="s">
        <v>47</v>
      </c>
      <c r="O238" t="s">
        <v>13</v>
      </c>
      <c r="P238" t="s">
        <v>115</v>
      </c>
      <c r="Q238" t="s">
        <v>144</v>
      </c>
      <c r="R238" s="3">
        <v>2400</v>
      </c>
      <c r="S238" s="4">
        <v>96</v>
      </c>
      <c r="T238" t="s">
        <v>150</v>
      </c>
      <c r="U238">
        <v>2304</v>
      </c>
      <c r="V238">
        <v>1</v>
      </c>
      <c r="W238"/>
    </row>
    <row r="239" spans="1:23" x14ac:dyDescent="0.3">
      <c r="A239">
        <v>238</v>
      </c>
      <c r="B239" s="1">
        <v>45529</v>
      </c>
      <c r="C239" t="s">
        <v>154</v>
      </c>
      <c r="D239">
        <v>2024</v>
      </c>
      <c r="E239" t="s">
        <v>9</v>
      </c>
      <c r="F239" t="s">
        <v>7</v>
      </c>
      <c r="G239" t="s">
        <v>10</v>
      </c>
      <c r="H239" t="s">
        <v>62</v>
      </c>
      <c r="I239" t="s">
        <v>63</v>
      </c>
      <c r="J239" t="s">
        <v>64</v>
      </c>
      <c r="K239" s="2"/>
      <c r="L239" t="s">
        <v>147</v>
      </c>
      <c r="M239" s="3">
        <v>150</v>
      </c>
      <c r="N239" t="s">
        <v>49</v>
      </c>
      <c r="O239" t="s">
        <v>6</v>
      </c>
      <c r="P239" t="s">
        <v>117</v>
      </c>
      <c r="Q239" t="s">
        <v>148</v>
      </c>
      <c r="R239" s="3"/>
      <c r="S239" s="4"/>
      <c r="V239">
        <v>1</v>
      </c>
      <c r="W239"/>
    </row>
    <row r="240" spans="1:23" x14ac:dyDescent="0.3">
      <c r="A240">
        <v>239</v>
      </c>
      <c r="B240" s="1">
        <v>45530</v>
      </c>
      <c r="C240" t="s">
        <v>154</v>
      </c>
      <c r="D240">
        <v>2024</v>
      </c>
      <c r="E240" t="s">
        <v>12</v>
      </c>
      <c r="F240" t="s">
        <v>7</v>
      </c>
      <c r="G240" t="s">
        <v>13</v>
      </c>
      <c r="H240" t="s">
        <v>66</v>
      </c>
      <c r="I240" t="s">
        <v>59</v>
      </c>
      <c r="J240" t="s">
        <v>67</v>
      </c>
      <c r="K240" s="2">
        <v>2</v>
      </c>
      <c r="L240" t="s">
        <v>143</v>
      </c>
      <c r="M240" s="3">
        <v>20</v>
      </c>
      <c r="N240" t="s">
        <v>51</v>
      </c>
      <c r="O240" t="s">
        <v>6</v>
      </c>
      <c r="P240" t="s">
        <v>113</v>
      </c>
      <c r="Q240" t="s">
        <v>144</v>
      </c>
      <c r="R240" s="3">
        <v>40</v>
      </c>
      <c r="S240" s="4">
        <v>2</v>
      </c>
      <c r="T240" t="s">
        <v>145</v>
      </c>
      <c r="U240">
        <v>38</v>
      </c>
      <c r="V240">
        <v>1</v>
      </c>
      <c r="W240"/>
    </row>
    <row r="241" spans="1:23" x14ac:dyDescent="0.3">
      <c r="A241">
        <v>240</v>
      </c>
      <c r="B241" s="1">
        <v>45531</v>
      </c>
      <c r="C241" t="s">
        <v>154</v>
      </c>
      <c r="D241">
        <v>2024</v>
      </c>
      <c r="E241" t="s">
        <v>15</v>
      </c>
      <c r="F241" t="s">
        <v>7</v>
      </c>
      <c r="G241" t="s">
        <v>16</v>
      </c>
      <c r="H241" t="s">
        <v>69</v>
      </c>
      <c r="I241" t="s">
        <v>59</v>
      </c>
      <c r="J241" t="s">
        <v>67</v>
      </c>
      <c r="K241" s="2">
        <v>4</v>
      </c>
      <c r="L241" t="s">
        <v>143</v>
      </c>
      <c r="M241" s="3">
        <v>50</v>
      </c>
      <c r="N241" t="s">
        <v>45</v>
      </c>
      <c r="O241" t="s">
        <v>16</v>
      </c>
      <c r="P241" t="s">
        <v>113</v>
      </c>
      <c r="Q241" t="s">
        <v>146</v>
      </c>
      <c r="R241" s="3">
        <v>200</v>
      </c>
      <c r="S241" s="4">
        <v>12</v>
      </c>
      <c r="T241" t="s">
        <v>145</v>
      </c>
      <c r="U241">
        <v>188</v>
      </c>
      <c r="V241">
        <v>1</v>
      </c>
      <c r="W241"/>
    </row>
    <row r="242" spans="1:23" x14ac:dyDescent="0.3">
      <c r="A242">
        <v>241</v>
      </c>
      <c r="B242" s="1">
        <v>45532</v>
      </c>
      <c r="C242" t="s">
        <v>154</v>
      </c>
      <c r="D242">
        <v>2024</v>
      </c>
      <c r="E242" t="s">
        <v>15</v>
      </c>
      <c r="F242" t="s">
        <v>7</v>
      </c>
      <c r="G242" t="s">
        <v>16</v>
      </c>
      <c r="H242" t="s">
        <v>71</v>
      </c>
      <c r="I242" t="s">
        <v>63</v>
      </c>
      <c r="J242" t="s">
        <v>64</v>
      </c>
      <c r="K242" s="2">
        <v>1</v>
      </c>
      <c r="L242" t="s">
        <v>143</v>
      </c>
      <c r="M242" s="3">
        <v>300</v>
      </c>
      <c r="N242" t="s">
        <v>51</v>
      </c>
      <c r="O242" t="s">
        <v>6</v>
      </c>
      <c r="P242" t="s">
        <v>113</v>
      </c>
      <c r="Q242" t="s">
        <v>144</v>
      </c>
      <c r="R242" s="3">
        <v>300</v>
      </c>
      <c r="S242" s="4">
        <v>0</v>
      </c>
      <c r="T242" t="s">
        <v>145</v>
      </c>
      <c r="U242">
        <v>300</v>
      </c>
      <c r="V242">
        <v>1</v>
      </c>
      <c r="W242"/>
    </row>
    <row r="243" spans="1:23" x14ac:dyDescent="0.3">
      <c r="A243">
        <v>242</v>
      </c>
      <c r="B243" s="1">
        <v>45533</v>
      </c>
      <c r="C243" t="s">
        <v>154</v>
      </c>
      <c r="D243">
        <v>2024</v>
      </c>
      <c r="E243" t="s">
        <v>5</v>
      </c>
      <c r="F243" t="s">
        <v>7</v>
      </c>
      <c r="G243" t="s">
        <v>6</v>
      </c>
      <c r="H243" t="s">
        <v>58</v>
      </c>
      <c r="I243" t="s">
        <v>59</v>
      </c>
      <c r="J243" t="s">
        <v>60</v>
      </c>
      <c r="K243" s="2">
        <v>5</v>
      </c>
      <c r="L243" t="s">
        <v>143</v>
      </c>
      <c r="M243" s="3">
        <v>800</v>
      </c>
      <c r="N243" t="s">
        <v>47</v>
      </c>
      <c r="O243" t="s">
        <v>10</v>
      </c>
      <c r="P243" t="s">
        <v>115</v>
      </c>
      <c r="Q243" t="s">
        <v>144</v>
      </c>
      <c r="R243" s="3">
        <v>4000</v>
      </c>
      <c r="S243" s="4">
        <v>280</v>
      </c>
      <c r="T243" t="s">
        <v>150</v>
      </c>
      <c r="U243">
        <v>3720</v>
      </c>
      <c r="V243">
        <v>1</v>
      </c>
      <c r="W243"/>
    </row>
    <row r="244" spans="1:23" x14ac:dyDescent="0.3">
      <c r="A244">
        <v>243</v>
      </c>
      <c r="B244" s="1">
        <v>45534</v>
      </c>
      <c r="C244" t="s">
        <v>154</v>
      </c>
      <c r="D244">
        <v>2024</v>
      </c>
      <c r="E244" t="s">
        <v>9</v>
      </c>
      <c r="F244" t="s">
        <v>7</v>
      </c>
      <c r="G244" t="s">
        <v>10</v>
      </c>
      <c r="H244" t="s">
        <v>73</v>
      </c>
      <c r="I244" t="s">
        <v>59</v>
      </c>
      <c r="J244" t="s">
        <v>74</v>
      </c>
      <c r="K244" s="2">
        <v>2</v>
      </c>
      <c r="L244" t="s">
        <v>143</v>
      </c>
      <c r="M244" s="3">
        <v>200</v>
      </c>
      <c r="N244" t="s">
        <v>49</v>
      </c>
      <c r="O244" t="s">
        <v>10</v>
      </c>
      <c r="P244" t="s">
        <v>117</v>
      </c>
      <c r="Q244" t="s">
        <v>146</v>
      </c>
      <c r="R244" s="3">
        <v>400</v>
      </c>
      <c r="S244" s="4">
        <v>0</v>
      </c>
      <c r="T244" t="s">
        <v>145</v>
      </c>
      <c r="U244">
        <v>400</v>
      </c>
      <c r="V244">
        <v>1</v>
      </c>
      <c r="W244"/>
    </row>
    <row r="245" spans="1:23" x14ac:dyDescent="0.3">
      <c r="A245">
        <v>244</v>
      </c>
      <c r="B245" s="1">
        <v>45535</v>
      </c>
      <c r="C245" t="s">
        <v>154</v>
      </c>
      <c r="D245">
        <v>2024</v>
      </c>
      <c r="E245" t="s">
        <v>12</v>
      </c>
      <c r="F245" t="s">
        <v>7</v>
      </c>
      <c r="G245" t="s">
        <v>13</v>
      </c>
      <c r="H245" t="s">
        <v>62</v>
      </c>
      <c r="I245" t="s">
        <v>63</v>
      </c>
      <c r="J245" t="s">
        <v>64</v>
      </c>
      <c r="K245" s="2">
        <v>3</v>
      </c>
      <c r="L245" t="s">
        <v>143</v>
      </c>
      <c r="M245" s="3">
        <v>150</v>
      </c>
      <c r="N245" t="s">
        <v>51</v>
      </c>
      <c r="O245" t="s">
        <v>6</v>
      </c>
      <c r="P245" t="s">
        <v>113</v>
      </c>
      <c r="Q245" t="s">
        <v>144</v>
      </c>
      <c r="R245" s="3">
        <v>450</v>
      </c>
      <c r="S245" s="4">
        <v>22.5</v>
      </c>
      <c r="T245" t="s">
        <v>145</v>
      </c>
      <c r="U245">
        <v>427.5</v>
      </c>
      <c r="V245">
        <v>1</v>
      </c>
      <c r="W245"/>
    </row>
    <row r="246" spans="1:23" x14ac:dyDescent="0.3">
      <c r="A246">
        <v>245</v>
      </c>
      <c r="B246" s="1">
        <v>45300</v>
      </c>
      <c r="C246" t="s">
        <v>153</v>
      </c>
      <c r="D246">
        <v>2024</v>
      </c>
      <c r="E246" t="s">
        <v>15</v>
      </c>
      <c r="F246" t="s">
        <v>7</v>
      </c>
      <c r="G246" t="s">
        <v>16</v>
      </c>
      <c r="H246" t="s">
        <v>66</v>
      </c>
      <c r="I246" t="s">
        <v>59</v>
      </c>
      <c r="J246" t="s">
        <v>67</v>
      </c>
      <c r="K246" s="2">
        <v>1</v>
      </c>
      <c r="L246" t="s">
        <v>143</v>
      </c>
      <c r="M246" s="3">
        <v>20</v>
      </c>
      <c r="N246" t="s">
        <v>45</v>
      </c>
      <c r="O246" t="s">
        <v>16</v>
      </c>
      <c r="P246" t="s">
        <v>113</v>
      </c>
      <c r="Q246" t="s">
        <v>144</v>
      </c>
      <c r="R246" s="3">
        <v>20</v>
      </c>
      <c r="S246" s="4">
        <v>0</v>
      </c>
      <c r="T246" t="s">
        <v>145</v>
      </c>
      <c r="U246">
        <v>20</v>
      </c>
      <c r="V246">
        <v>1</v>
      </c>
      <c r="W246"/>
    </row>
    <row r="247" spans="1:23" x14ac:dyDescent="0.3">
      <c r="A247">
        <v>246</v>
      </c>
      <c r="B247" s="1">
        <v>45331</v>
      </c>
      <c r="C247" t="s">
        <v>157</v>
      </c>
      <c r="D247">
        <v>2024</v>
      </c>
      <c r="E247" t="s">
        <v>5</v>
      </c>
      <c r="F247" t="s">
        <v>7</v>
      </c>
      <c r="G247" t="s">
        <v>6</v>
      </c>
      <c r="H247" t="s">
        <v>69</v>
      </c>
      <c r="I247" t="s">
        <v>59</v>
      </c>
      <c r="J247" t="s">
        <v>67</v>
      </c>
      <c r="K247" s="2">
        <v>2</v>
      </c>
      <c r="L247" t="s">
        <v>143</v>
      </c>
      <c r="M247" s="3">
        <v>50</v>
      </c>
      <c r="N247" t="s">
        <v>51</v>
      </c>
      <c r="O247" t="s">
        <v>13</v>
      </c>
      <c r="P247" t="s">
        <v>113</v>
      </c>
      <c r="Q247" t="s">
        <v>146</v>
      </c>
      <c r="R247" s="3">
        <v>100</v>
      </c>
      <c r="S247" s="4">
        <v>4</v>
      </c>
      <c r="T247" t="s">
        <v>145</v>
      </c>
      <c r="U247">
        <v>96</v>
      </c>
      <c r="V247">
        <v>1</v>
      </c>
      <c r="W247"/>
    </row>
    <row r="248" spans="1:23" x14ac:dyDescent="0.3">
      <c r="A248">
        <v>247</v>
      </c>
      <c r="B248" s="1">
        <v>45360</v>
      </c>
      <c r="C248" t="s">
        <v>158</v>
      </c>
      <c r="D248">
        <v>2024</v>
      </c>
      <c r="E248" t="s">
        <v>9</v>
      </c>
      <c r="F248" t="s">
        <v>7</v>
      </c>
      <c r="G248" t="s">
        <v>10</v>
      </c>
      <c r="H248" t="s">
        <v>71</v>
      </c>
      <c r="I248" t="s">
        <v>63</v>
      </c>
      <c r="J248" t="s">
        <v>64</v>
      </c>
      <c r="K248" s="2">
        <v>4</v>
      </c>
      <c r="L248" t="s">
        <v>143</v>
      </c>
      <c r="M248" s="3">
        <v>300</v>
      </c>
      <c r="N248" t="s">
        <v>47</v>
      </c>
      <c r="O248" t="s">
        <v>6</v>
      </c>
      <c r="P248" t="s">
        <v>115</v>
      </c>
      <c r="Q248" t="s">
        <v>144</v>
      </c>
      <c r="R248" s="3">
        <v>1200</v>
      </c>
      <c r="S248" s="4">
        <v>60</v>
      </c>
      <c r="T248" t="s">
        <v>149</v>
      </c>
      <c r="U248">
        <v>1140</v>
      </c>
      <c r="V248">
        <v>1</v>
      </c>
      <c r="W248"/>
    </row>
    <row r="249" spans="1:23" x14ac:dyDescent="0.3">
      <c r="A249">
        <v>248</v>
      </c>
      <c r="B249" s="1">
        <v>45391</v>
      </c>
      <c r="C249" t="s">
        <v>156</v>
      </c>
      <c r="D249">
        <v>2024</v>
      </c>
      <c r="E249" t="s">
        <v>12</v>
      </c>
      <c r="F249" t="s">
        <v>7</v>
      </c>
      <c r="G249" t="s">
        <v>13</v>
      </c>
      <c r="H249" t="s">
        <v>58</v>
      </c>
      <c r="I249" t="s">
        <v>59</v>
      </c>
      <c r="J249" t="s">
        <v>60</v>
      </c>
      <c r="K249" s="2"/>
      <c r="L249" t="s">
        <v>147</v>
      </c>
      <c r="M249" s="3">
        <v>800</v>
      </c>
      <c r="N249" t="s">
        <v>49</v>
      </c>
      <c r="O249" t="s">
        <v>10</v>
      </c>
      <c r="P249" t="s">
        <v>117</v>
      </c>
      <c r="Q249" t="s">
        <v>148</v>
      </c>
      <c r="R249" s="3"/>
      <c r="S249" s="4"/>
      <c r="V249">
        <v>1</v>
      </c>
      <c r="W249"/>
    </row>
    <row r="250" spans="1:23" x14ac:dyDescent="0.3">
      <c r="A250">
        <v>249</v>
      </c>
      <c r="B250" s="1">
        <v>45421</v>
      </c>
      <c r="C250" t="s">
        <v>159</v>
      </c>
      <c r="D250">
        <v>2024</v>
      </c>
      <c r="E250" t="s">
        <v>15</v>
      </c>
      <c r="F250" t="s">
        <v>7</v>
      </c>
      <c r="G250" t="s">
        <v>16</v>
      </c>
      <c r="H250" t="s">
        <v>62</v>
      </c>
      <c r="I250" t="s">
        <v>63</v>
      </c>
      <c r="J250" t="s">
        <v>64</v>
      </c>
      <c r="K250" s="2">
        <v>2</v>
      </c>
      <c r="L250" t="s">
        <v>143</v>
      </c>
      <c r="M250" s="3">
        <v>150</v>
      </c>
      <c r="N250" t="s">
        <v>51</v>
      </c>
      <c r="O250" t="s">
        <v>6</v>
      </c>
      <c r="P250" t="s">
        <v>113</v>
      </c>
      <c r="Q250" t="s">
        <v>144</v>
      </c>
      <c r="R250" s="3">
        <v>300</v>
      </c>
      <c r="S250" s="4">
        <v>15</v>
      </c>
      <c r="T250" t="s">
        <v>145</v>
      </c>
      <c r="U250">
        <v>285</v>
      </c>
      <c r="V250">
        <v>1</v>
      </c>
      <c r="W250"/>
    </row>
    <row r="251" spans="1:23" x14ac:dyDescent="0.3">
      <c r="A251">
        <v>250</v>
      </c>
      <c r="B251" s="1">
        <v>45452</v>
      </c>
      <c r="C251" t="s">
        <v>164</v>
      </c>
      <c r="D251">
        <v>2024</v>
      </c>
      <c r="E251" t="s">
        <v>5</v>
      </c>
      <c r="F251" t="s">
        <v>7</v>
      </c>
      <c r="G251" t="s">
        <v>6</v>
      </c>
      <c r="H251" t="s">
        <v>66</v>
      </c>
      <c r="I251" t="s">
        <v>59</v>
      </c>
      <c r="J251" t="s">
        <v>67</v>
      </c>
      <c r="K251" s="2">
        <v>5</v>
      </c>
      <c r="L251" t="s">
        <v>143</v>
      </c>
      <c r="M251" s="3">
        <v>20</v>
      </c>
      <c r="N251" t="s">
        <v>45</v>
      </c>
      <c r="O251" t="s">
        <v>10</v>
      </c>
      <c r="P251" t="s">
        <v>113</v>
      </c>
      <c r="Q251" t="s">
        <v>146</v>
      </c>
      <c r="R251" s="3">
        <v>100</v>
      </c>
      <c r="S251" s="4">
        <v>7</v>
      </c>
      <c r="T251" t="s">
        <v>145</v>
      </c>
      <c r="U251">
        <v>93</v>
      </c>
      <c r="V251">
        <v>1</v>
      </c>
      <c r="W251"/>
    </row>
    <row r="252" spans="1:23" x14ac:dyDescent="0.3">
      <c r="A252">
        <v>251</v>
      </c>
      <c r="B252" s="1">
        <v>45482</v>
      </c>
      <c r="C252" t="s">
        <v>160</v>
      </c>
      <c r="D252">
        <v>2024</v>
      </c>
      <c r="E252" t="s">
        <v>12</v>
      </c>
      <c r="F252" t="s">
        <v>7</v>
      </c>
      <c r="G252" t="s">
        <v>13</v>
      </c>
      <c r="H252" t="s">
        <v>69</v>
      </c>
      <c r="I252" t="s">
        <v>59</v>
      </c>
      <c r="J252" t="s">
        <v>67</v>
      </c>
      <c r="K252" s="2">
        <v>1</v>
      </c>
      <c r="L252" t="s">
        <v>143</v>
      </c>
      <c r="M252" s="3">
        <v>50</v>
      </c>
      <c r="N252" t="s">
        <v>51</v>
      </c>
      <c r="O252" t="s">
        <v>6</v>
      </c>
      <c r="P252" t="s">
        <v>113</v>
      </c>
      <c r="Q252" t="s">
        <v>144</v>
      </c>
      <c r="R252" s="3">
        <v>50</v>
      </c>
      <c r="S252" s="4">
        <v>0</v>
      </c>
      <c r="T252" t="s">
        <v>145</v>
      </c>
      <c r="U252">
        <v>50</v>
      </c>
      <c r="V252">
        <v>1</v>
      </c>
      <c r="W252"/>
    </row>
    <row r="253" spans="1:23" x14ac:dyDescent="0.3">
      <c r="A253">
        <v>252</v>
      </c>
      <c r="B253" s="1">
        <v>45513</v>
      </c>
      <c r="C253" t="s">
        <v>154</v>
      </c>
      <c r="D253">
        <v>2024</v>
      </c>
      <c r="E253" t="s">
        <v>15</v>
      </c>
      <c r="F253" t="s">
        <v>7</v>
      </c>
      <c r="G253" t="s">
        <v>16</v>
      </c>
      <c r="H253" t="s">
        <v>71</v>
      </c>
      <c r="I253" t="s">
        <v>63</v>
      </c>
      <c r="J253" t="s">
        <v>64</v>
      </c>
      <c r="K253" s="2">
        <v>3</v>
      </c>
      <c r="L253" t="s">
        <v>143</v>
      </c>
      <c r="M253" s="3">
        <v>300</v>
      </c>
      <c r="N253" t="s">
        <v>47</v>
      </c>
      <c r="O253" t="s">
        <v>10</v>
      </c>
      <c r="P253" t="s">
        <v>115</v>
      </c>
      <c r="Q253" t="s">
        <v>146</v>
      </c>
      <c r="R253" s="3">
        <v>900</v>
      </c>
      <c r="S253" s="4">
        <v>63</v>
      </c>
      <c r="T253" t="s">
        <v>145</v>
      </c>
      <c r="U253">
        <v>837</v>
      </c>
      <c r="V253">
        <v>1</v>
      </c>
      <c r="W253"/>
    </row>
    <row r="254" spans="1:23" x14ac:dyDescent="0.3">
      <c r="A254">
        <v>253</v>
      </c>
      <c r="B254" s="1">
        <v>45544</v>
      </c>
      <c r="C254" t="s">
        <v>161</v>
      </c>
      <c r="D254">
        <v>2024</v>
      </c>
      <c r="E254" t="s">
        <v>5</v>
      </c>
      <c r="F254" t="s">
        <v>7</v>
      </c>
      <c r="G254" t="s">
        <v>6</v>
      </c>
      <c r="H254" t="s">
        <v>58</v>
      </c>
      <c r="I254" t="s">
        <v>59</v>
      </c>
      <c r="J254" t="s">
        <v>60</v>
      </c>
      <c r="K254" s="2">
        <v>2</v>
      </c>
      <c r="L254" t="s">
        <v>143</v>
      </c>
      <c r="M254" s="3">
        <v>800</v>
      </c>
      <c r="N254" t="s">
        <v>49</v>
      </c>
      <c r="O254" t="s">
        <v>13</v>
      </c>
      <c r="P254" t="s">
        <v>117</v>
      </c>
      <c r="Q254" t="s">
        <v>144</v>
      </c>
      <c r="R254" s="3">
        <v>1600</v>
      </c>
      <c r="S254" s="4">
        <v>64</v>
      </c>
      <c r="T254" t="s">
        <v>149</v>
      </c>
      <c r="U254">
        <v>1536</v>
      </c>
      <c r="V254">
        <v>1</v>
      </c>
      <c r="W254"/>
    </row>
    <row r="255" spans="1:23" x14ac:dyDescent="0.3">
      <c r="A255">
        <v>254</v>
      </c>
      <c r="B255" s="1">
        <v>45574</v>
      </c>
      <c r="C255" t="s">
        <v>155</v>
      </c>
      <c r="D255">
        <v>2024</v>
      </c>
      <c r="E255" t="s">
        <v>9</v>
      </c>
      <c r="F255" t="s">
        <v>7</v>
      </c>
      <c r="G255" t="s">
        <v>10</v>
      </c>
      <c r="H255" t="s">
        <v>62</v>
      </c>
      <c r="I255" t="s">
        <v>63</v>
      </c>
      <c r="J255" t="s">
        <v>64</v>
      </c>
      <c r="K255" s="2">
        <v>1</v>
      </c>
      <c r="L255" t="s">
        <v>143</v>
      </c>
      <c r="M255" s="3">
        <v>150</v>
      </c>
      <c r="N255" t="s">
        <v>51</v>
      </c>
      <c r="O255" t="s">
        <v>6</v>
      </c>
      <c r="P255" t="s">
        <v>113</v>
      </c>
      <c r="Q255" t="s">
        <v>144</v>
      </c>
      <c r="R255" s="3">
        <v>150</v>
      </c>
      <c r="S255" s="4">
        <v>0</v>
      </c>
      <c r="T255" t="s">
        <v>145</v>
      </c>
      <c r="U255">
        <v>150</v>
      </c>
      <c r="V255">
        <v>1</v>
      </c>
      <c r="W255"/>
    </row>
    <row r="256" spans="1:23" x14ac:dyDescent="0.3">
      <c r="A256">
        <v>255</v>
      </c>
      <c r="B256" s="1">
        <v>45605</v>
      </c>
      <c r="C256" t="s">
        <v>162</v>
      </c>
      <c r="D256">
        <v>2024</v>
      </c>
      <c r="E256" t="s">
        <v>12</v>
      </c>
      <c r="F256" t="s">
        <v>7</v>
      </c>
      <c r="G256" t="s">
        <v>13</v>
      </c>
      <c r="H256" t="s">
        <v>66</v>
      </c>
      <c r="I256" t="s">
        <v>59</v>
      </c>
      <c r="J256" t="s">
        <v>67</v>
      </c>
      <c r="K256" s="2"/>
      <c r="L256" t="s">
        <v>147</v>
      </c>
      <c r="M256" s="3">
        <v>20</v>
      </c>
      <c r="N256" t="s">
        <v>45</v>
      </c>
      <c r="O256" t="s">
        <v>16</v>
      </c>
      <c r="P256" t="s">
        <v>113</v>
      </c>
      <c r="Q256" t="s">
        <v>148</v>
      </c>
      <c r="R256" s="3"/>
      <c r="S256" s="4"/>
      <c r="V256">
        <v>1</v>
      </c>
      <c r="W256"/>
    </row>
    <row r="257" spans="1:23" x14ac:dyDescent="0.3">
      <c r="A257">
        <v>256</v>
      </c>
      <c r="B257" s="1">
        <v>45635</v>
      </c>
      <c r="C257" t="s">
        <v>163</v>
      </c>
      <c r="D257">
        <v>2024</v>
      </c>
      <c r="E257" t="s">
        <v>15</v>
      </c>
      <c r="F257" t="s">
        <v>7</v>
      </c>
      <c r="G257" t="s">
        <v>16</v>
      </c>
      <c r="H257" t="s">
        <v>69</v>
      </c>
      <c r="I257" t="s">
        <v>59</v>
      </c>
      <c r="J257" t="s">
        <v>67</v>
      </c>
      <c r="K257" s="2">
        <v>5</v>
      </c>
      <c r="L257" t="s">
        <v>143</v>
      </c>
      <c r="M257" s="3">
        <v>50</v>
      </c>
      <c r="N257" t="s">
        <v>51</v>
      </c>
      <c r="O257" t="s">
        <v>6</v>
      </c>
      <c r="P257" t="s">
        <v>113</v>
      </c>
      <c r="Q257" t="s">
        <v>146</v>
      </c>
      <c r="R257" s="3">
        <v>250</v>
      </c>
      <c r="S257" s="4">
        <v>12.5</v>
      </c>
      <c r="T257" t="s">
        <v>145</v>
      </c>
      <c r="U257">
        <v>237.5</v>
      </c>
      <c r="V257">
        <v>1</v>
      </c>
      <c r="W257"/>
    </row>
    <row r="258" spans="1:23" x14ac:dyDescent="0.3">
      <c r="A258">
        <v>257</v>
      </c>
      <c r="B258" s="1">
        <v>45548</v>
      </c>
      <c r="C258" t="s">
        <v>161</v>
      </c>
      <c r="D258">
        <v>2024</v>
      </c>
      <c r="E258" t="s">
        <v>5</v>
      </c>
      <c r="F258" t="s">
        <v>7</v>
      </c>
      <c r="G258" t="s">
        <v>6</v>
      </c>
      <c r="H258" t="s">
        <v>71</v>
      </c>
      <c r="I258" t="s">
        <v>63</v>
      </c>
      <c r="J258" t="s">
        <v>64</v>
      </c>
      <c r="K258" s="2">
        <v>2</v>
      </c>
      <c r="L258" t="s">
        <v>143</v>
      </c>
      <c r="M258" s="3">
        <v>300</v>
      </c>
      <c r="N258" t="s">
        <v>47</v>
      </c>
      <c r="O258" t="s">
        <v>10</v>
      </c>
      <c r="P258" t="s">
        <v>115</v>
      </c>
      <c r="Q258" t="s">
        <v>144</v>
      </c>
      <c r="R258" s="3">
        <v>600</v>
      </c>
      <c r="S258" s="4">
        <v>0</v>
      </c>
      <c r="T258" t="s">
        <v>145</v>
      </c>
      <c r="U258">
        <v>600</v>
      </c>
      <c r="V258">
        <v>1</v>
      </c>
      <c r="W258"/>
    </row>
    <row r="259" spans="1:23" x14ac:dyDescent="0.3">
      <c r="A259">
        <v>258</v>
      </c>
      <c r="B259" s="1">
        <v>45549</v>
      </c>
      <c r="C259" t="s">
        <v>161</v>
      </c>
      <c r="D259">
        <v>2024</v>
      </c>
      <c r="E259" t="s">
        <v>9</v>
      </c>
      <c r="F259" t="s">
        <v>7</v>
      </c>
      <c r="G259" t="s">
        <v>10</v>
      </c>
      <c r="H259" t="s">
        <v>58</v>
      </c>
      <c r="I259" t="s">
        <v>59</v>
      </c>
      <c r="J259" t="s">
        <v>60</v>
      </c>
      <c r="K259" s="2">
        <v>3</v>
      </c>
      <c r="L259" t="s">
        <v>143</v>
      </c>
      <c r="M259" s="3">
        <v>800</v>
      </c>
      <c r="N259" t="s">
        <v>49</v>
      </c>
      <c r="O259" t="s">
        <v>10</v>
      </c>
      <c r="P259" t="s">
        <v>117</v>
      </c>
      <c r="Q259" t="s">
        <v>144</v>
      </c>
      <c r="R259" s="3">
        <v>2400</v>
      </c>
      <c r="S259" s="4">
        <v>168</v>
      </c>
      <c r="T259" t="s">
        <v>150</v>
      </c>
      <c r="U259">
        <v>2232</v>
      </c>
      <c r="V259">
        <v>1</v>
      </c>
      <c r="W259"/>
    </row>
    <row r="260" spans="1:23" x14ac:dyDescent="0.3">
      <c r="A260">
        <v>259</v>
      </c>
      <c r="B260" s="1">
        <v>45550</v>
      </c>
      <c r="C260" t="s">
        <v>161</v>
      </c>
      <c r="D260">
        <v>2024</v>
      </c>
      <c r="E260" t="s">
        <v>12</v>
      </c>
      <c r="F260" t="s">
        <v>7</v>
      </c>
      <c r="G260" t="s">
        <v>13</v>
      </c>
      <c r="H260" t="s">
        <v>73</v>
      </c>
      <c r="I260" t="s">
        <v>59</v>
      </c>
      <c r="J260" t="s">
        <v>74</v>
      </c>
      <c r="K260" s="2">
        <v>2</v>
      </c>
      <c r="L260" t="s">
        <v>143</v>
      </c>
      <c r="M260" s="3">
        <v>200</v>
      </c>
      <c r="N260" t="s">
        <v>51</v>
      </c>
      <c r="O260" t="s">
        <v>13</v>
      </c>
      <c r="P260" t="s">
        <v>113</v>
      </c>
      <c r="Q260" t="s">
        <v>146</v>
      </c>
      <c r="R260" s="3">
        <v>400</v>
      </c>
      <c r="S260" s="4">
        <v>16</v>
      </c>
      <c r="T260" t="s">
        <v>145</v>
      </c>
      <c r="U260">
        <v>384</v>
      </c>
      <c r="V260">
        <v>1</v>
      </c>
      <c r="W260"/>
    </row>
    <row r="261" spans="1:23" x14ac:dyDescent="0.3">
      <c r="A261">
        <v>260</v>
      </c>
      <c r="B261" s="1">
        <v>45551</v>
      </c>
      <c r="C261" t="s">
        <v>161</v>
      </c>
      <c r="D261">
        <v>2024</v>
      </c>
      <c r="E261" t="s">
        <v>15</v>
      </c>
      <c r="F261" t="s">
        <v>7</v>
      </c>
      <c r="G261" t="s">
        <v>16</v>
      </c>
      <c r="H261" t="s">
        <v>62</v>
      </c>
      <c r="I261" t="s">
        <v>63</v>
      </c>
      <c r="J261" t="s">
        <v>64</v>
      </c>
      <c r="K261" s="2">
        <v>4</v>
      </c>
      <c r="L261" t="s">
        <v>143</v>
      </c>
      <c r="M261" s="3">
        <v>150</v>
      </c>
      <c r="N261" t="s">
        <v>45</v>
      </c>
      <c r="O261" t="s">
        <v>6</v>
      </c>
      <c r="P261" t="s">
        <v>113</v>
      </c>
      <c r="Q261" t="s">
        <v>144</v>
      </c>
      <c r="R261" s="3">
        <v>600</v>
      </c>
      <c r="S261" s="4">
        <v>30</v>
      </c>
      <c r="T261" t="s">
        <v>145</v>
      </c>
      <c r="U261">
        <v>570</v>
      </c>
      <c r="V261">
        <v>1</v>
      </c>
      <c r="W261"/>
    </row>
    <row r="262" spans="1:23" x14ac:dyDescent="0.3">
      <c r="A262">
        <v>261</v>
      </c>
      <c r="B262" s="1">
        <v>45552</v>
      </c>
      <c r="C262" t="s">
        <v>161</v>
      </c>
      <c r="D262">
        <v>2024</v>
      </c>
      <c r="E262" t="s">
        <v>5</v>
      </c>
      <c r="F262" t="s">
        <v>7</v>
      </c>
      <c r="G262" t="s">
        <v>6</v>
      </c>
      <c r="H262" t="s">
        <v>66</v>
      </c>
      <c r="I262" t="s">
        <v>59</v>
      </c>
      <c r="J262" t="s">
        <v>67</v>
      </c>
      <c r="K262" s="2">
        <v>1</v>
      </c>
      <c r="L262" t="s">
        <v>143</v>
      </c>
      <c r="M262" s="3">
        <v>20</v>
      </c>
      <c r="N262" t="s">
        <v>51</v>
      </c>
      <c r="O262" t="s">
        <v>6</v>
      </c>
      <c r="P262" t="s">
        <v>113</v>
      </c>
      <c r="Q262" t="s">
        <v>144</v>
      </c>
      <c r="R262" s="3">
        <v>20</v>
      </c>
      <c r="S262" s="4">
        <v>0</v>
      </c>
      <c r="T262" t="s">
        <v>145</v>
      </c>
      <c r="U262">
        <v>20</v>
      </c>
      <c r="V262">
        <v>1</v>
      </c>
      <c r="W262"/>
    </row>
    <row r="263" spans="1:23" x14ac:dyDescent="0.3">
      <c r="A263">
        <v>262</v>
      </c>
      <c r="B263" s="1">
        <v>45553</v>
      </c>
      <c r="C263" t="s">
        <v>161</v>
      </c>
      <c r="D263">
        <v>2024</v>
      </c>
      <c r="E263" t="s">
        <v>9</v>
      </c>
      <c r="F263" t="s">
        <v>7</v>
      </c>
      <c r="G263" t="s">
        <v>10</v>
      </c>
      <c r="H263" t="s">
        <v>69</v>
      </c>
      <c r="I263" t="s">
        <v>59</v>
      </c>
      <c r="J263" t="s">
        <v>67</v>
      </c>
      <c r="K263" s="2">
        <v>2</v>
      </c>
      <c r="L263" t="s">
        <v>143</v>
      </c>
      <c r="M263" s="3">
        <v>50</v>
      </c>
      <c r="N263" t="s">
        <v>47</v>
      </c>
      <c r="O263" t="s">
        <v>10</v>
      </c>
      <c r="P263" t="s">
        <v>115</v>
      </c>
      <c r="Q263" t="s">
        <v>144</v>
      </c>
      <c r="R263" s="3">
        <v>100</v>
      </c>
      <c r="S263" s="4">
        <v>0</v>
      </c>
      <c r="T263" t="s">
        <v>145</v>
      </c>
      <c r="U263">
        <v>100</v>
      </c>
      <c r="V263">
        <v>1</v>
      </c>
      <c r="W263"/>
    </row>
    <row r="264" spans="1:23" x14ac:dyDescent="0.3">
      <c r="A264">
        <v>263</v>
      </c>
      <c r="B264" s="1">
        <v>45554</v>
      </c>
      <c r="C264" t="s">
        <v>161</v>
      </c>
      <c r="D264">
        <v>2024</v>
      </c>
      <c r="E264" t="s">
        <v>12</v>
      </c>
      <c r="F264" t="s">
        <v>7</v>
      </c>
      <c r="G264" t="s">
        <v>13</v>
      </c>
      <c r="H264" t="s">
        <v>71</v>
      </c>
      <c r="I264" t="s">
        <v>63</v>
      </c>
      <c r="J264" t="s">
        <v>64</v>
      </c>
      <c r="K264" s="2">
        <v>5</v>
      </c>
      <c r="L264" t="s">
        <v>143</v>
      </c>
      <c r="M264" s="3">
        <v>300</v>
      </c>
      <c r="N264" t="s">
        <v>49</v>
      </c>
      <c r="O264" t="s">
        <v>10</v>
      </c>
      <c r="P264" t="s">
        <v>117</v>
      </c>
      <c r="Q264" t="s">
        <v>146</v>
      </c>
      <c r="R264" s="3">
        <v>1500</v>
      </c>
      <c r="S264" s="4">
        <v>105</v>
      </c>
      <c r="T264" t="s">
        <v>149</v>
      </c>
      <c r="U264">
        <v>1395</v>
      </c>
      <c r="V264">
        <v>1</v>
      </c>
      <c r="W264"/>
    </row>
    <row r="265" spans="1:23" x14ac:dyDescent="0.3">
      <c r="A265">
        <v>264</v>
      </c>
      <c r="B265" s="1">
        <v>45555</v>
      </c>
      <c r="C265" t="s">
        <v>161</v>
      </c>
      <c r="D265">
        <v>2024</v>
      </c>
      <c r="E265" t="s">
        <v>15</v>
      </c>
      <c r="F265" t="s">
        <v>7</v>
      </c>
      <c r="G265" t="s">
        <v>16</v>
      </c>
      <c r="H265" t="s">
        <v>58</v>
      </c>
      <c r="I265" t="s">
        <v>59</v>
      </c>
      <c r="J265" t="s">
        <v>60</v>
      </c>
      <c r="K265" s="2">
        <v>2</v>
      </c>
      <c r="L265" t="s">
        <v>143</v>
      </c>
      <c r="M265" s="3">
        <v>800</v>
      </c>
      <c r="N265" t="s">
        <v>51</v>
      </c>
      <c r="O265" t="s">
        <v>13</v>
      </c>
      <c r="P265" t="s">
        <v>113</v>
      </c>
      <c r="Q265" t="s">
        <v>144</v>
      </c>
      <c r="R265" s="3">
        <v>1600</v>
      </c>
      <c r="S265" s="4">
        <v>64</v>
      </c>
      <c r="T265" t="s">
        <v>149</v>
      </c>
      <c r="U265">
        <v>1536</v>
      </c>
      <c r="V265">
        <v>1</v>
      </c>
      <c r="W265"/>
    </row>
    <row r="266" spans="1:23" x14ac:dyDescent="0.3">
      <c r="A266">
        <v>265</v>
      </c>
      <c r="B266" s="1">
        <v>45556</v>
      </c>
      <c r="C266" t="s">
        <v>161</v>
      </c>
      <c r="D266">
        <v>2024</v>
      </c>
      <c r="E266" t="s">
        <v>5</v>
      </c>
      <c r="F266" t="s">
        <v>7</v>
      </c>
      <c r="G266" t="s">
        <v>6</v>
      </c>
      <c r="H266" t="s">
        <v>62</v>
      </c>
      <c r="I266" t="s">
        <v>63</v>
      </c>
      <c r="J266" t="s">
        <v>64</v>
      </c>
      <c r="K266" s="2">
        <v>3</v>
      </c>
      <c r="L266" t="s">
        <v>143</v>
      </c>
      <c r="M266" s="3">
        <v>150</v>
      </c>
      <c r="N266" t="s">
        <v>45</v>
      </c>
      <c r="O266" t="s">
        <v>16</v>
      </c>
      <c r="P266" t="s">
        <v>113</v>
      </c>
      <c r="Q266" t="s">
        <v>144</v>
      </c>
      <c r="R266" s="3">
        <v>450</v>
      </c>
      <c r="S266" s="4">
        <v>27</v>
      </c>
      <c r="T266" t="s">
        <v>145</v>
      </c>
      <c r="U266">
        <v>423</v>
      </c>
      <c r="V266">
        <v>1</v>
      </c>
      <c r="W266"/>
    </row>
    <row r="267" spans="1:23" x14ac:dyDescent="0.3">
      <c r="A267">
        <v>266</v>
      </c>
      <c r="B267" s="1">
        <v>45557</v>
      </c>
      <c r="C267" t="s">
        <v>161</v>
      </c>
      <c r="D267">
        <v>2024</v>
      </c>
      <c r="E267" t="s">
        <v>9</v>
      </c>
      <c r="F267" t="s">
        <v>7</v>
      </c>
      <c r="G267" t="s">
        <v>10</v>
      </c>
      <c r="H267" t="s">
        <v>66</v>
      </c>
      <c r="I267" t="s">
        <v>59</v>
      </c>
      <c r="J267" t="s">
        <v>67</v>
      </c>
      <c r="K267" s="2"/>
      <c r="L267" t="s">
        <v>147</v>
      </c>
      <c r="M267" s="3">
        <v>20</v>
      </c>
      <c r="N267" t="s">
        <v>51</v>
      </c>
      <c r="O267" t="s">
        <v>6</v>
      </c>
      <c r="P267" t="s">
        <v>113</v>
      </c>
      <c r="Q267" t="s">
        <v>146</v>
      </c>
      <c r="R267" s="3"/>
      <c r="S267" s="4"/>
      <c r="V267">
        <v>1</v>
      </c>
      <c r="W267"/>
    </row>
    <row r="268" spans="1:23" x14ac:dyDescent="0.3">
      <c r="A268">
        <v>267</v>
      </c>
      <c r="B268" s="1">
        <v>45558</v>
      </c>
      <c r="C268" t="s">
        <v>161</v>
      </c>
      <c r="D268">
        <v>2024</v>
      </c>
      <c r="E268" t="s">
        <v>12</v>
      </c>
      <c r="F268" t="s">
        <v>7</v>
      </c>
      <c r="G268" t="s">
        <v>13</v>
      </c>
      <c r="H268" t="s">
        <v>69</v>
      </c>
      <c r="I268" t="s">
        <v>59</v>
      </c>
      <c r="J268" t="s">
        <v>67</v>
      </c>
      <c r="K268" s="2">
        <v>4</v>
      </c>
      <c r="L268" t="s">
        <v>143</v>
      </c>
      <c r="M268" s="3">
        <v>50</v>
      </c>
      <c r="N268" t="s">
        <v>47</v>
      </c>
      <c r="O268" t="s">
        <v>10</v>
      </c>
      <c r="P268" t="s">
        <v>115</v>
      </c>
      <c r="Q268" t="s">
        <v>144</v>
      </c>
      <c r="R268" s="3">
        <v>200</v>
      </c>
      <c r="S268" s="4">
        <v>14</v>
      </c>
      <c r="T268" t="s">
        <v>145</v>
      </c>
      <c r="U268">
        <v>186</v>
      </c>
      <c r="V268">
        <v>1</v>
      </c>
      <c r="W268"/>
    </row>
    <row r="269" spans="1:23" x14ac:dyDescent="0.3">
      <c r="A269">
        <v>268</v>
      </c>
      <c r="B269" s="1">
        <v>45559</v>
      </c>
      <c r="C269" t="s">
        <v>161</v>
      </c>
      <c r="D269">
        <v>2024</v>
      </c>
      <c r="E269" t="s">
        <v>15</v>
      </c>
      <c r="F269" t="s">
        <v>7</v>
      </c>
      <c r="G269" t="s">
        <v>16</v>
      </c>
      <c r="H269" t="s">
        <v>71</v>
      </c>
      <c r="I269" t="s">
        <v>63</v>
      </c>
      <c r="J269" t="s">
        <v>64</v>
      </c>
      <c r="K269" s="2">
        <v>1</v>
      </c>
      <c r="L269" t="s">
        <v>143</v>
      </c>
      <c r="M269" s="3">
        <v>300</v>
      </c>
      <c r="N269" t="s">
        <v>49</v>
      </c>
      <c r="O269" t="s">
        <v>6</v>
      </c>
      <c r="P269" t="s">
        <v>117</v>
      </c>
      <c r="Q269" t="s">
        <v>148</v>
      </c>
      <c r="R269" s="3">
        <v>300</v>
      </c>
      <c r="S269" s="4">
        <v>0</v>
      </c>
      <c r="T269" t="s">
        <v>145</v>
      </c>
      <c r="U269">
        <v>300</v>
      </c>
      <c r="V269">
        <v>1</v>
      </c>
      <c r="W269"/>
    </row>
    <row r="270" spans="1:23" x14ac:dyDescent="0.3">
      <c r="A270">
        <v>269</v>
      </c>
      <c r="B270" s="1">
        <v>45560</v>
      </c>
      <c r="C270" t="s">
        <v>161</v>
      </c>
      <c r="D270">
        <v>2024</v>
      </c>
      <c r="E270" t="s">
        <v>5</v>
      </c>
      <c r="F270" t="s">
        <v>7</v>
      </c>
      <c r="G270" t="s">
        <v>6</v>
      </c>
      <c r="H270" t="s">
        <v>58</v>
      </c>
      <c r="I270" t="s">
        <v>59</v>
      </c>
      <c r="J270" t="s">
        <v>60</v>
      </c>
      <c r="K270" s="2">
        <v>5</v>
      </c>
      <c r="L270" t="s">
        <v>143</v>
      </c>
      <c r="M270" s="3">
        <v>800</v>
      </c>
      <c r="N270" t="s">
        <v>51</v>
      </c>
      <c r="O270" t="s">
        <v>6</v>
      </c>
      <c r="P270" t="s">
        <v>113</v>
      </c>
      <c r="Q270" t="s">
        <v>144</v>
      </c>
      <c r="R270" s="3">
        <v>4000</v>
      </c>
      <c r="S270" s="4">
        <v>200</v>
      </c>
      <c r="T270" t="s">
        <v>150</v>
      </c>
      <c r="U270">
        <v>3800</v>
      </c>
      <c r="V270">
        <v>1</v>
      </c>
      <c r="W270"/>
    </row>
    <row r="271" spans="1:23" x14ac:dyDescent="0.3">
      <c r="A271">
        <v>270</v>
      </c>
      <c r="B271" s="1">
        <v>45561</v>
      </c>
      <c r="C271" t="s">
        <v>161</v>
      </c>
      <c r="D271">
        <v>2024</v>
      </c>
      <c r="E271" t="s">
        <v>9</v>
      </c>
      <c r="F271" t="s">
        <v>7</v>
      </c>
      <c r="G271" t="s">
        <v>10</v>
      </c>
      <c r="H271" t="s">
        <v>73</v>
      </c>
      <c r="I271" t="s">
        <v>59</v>
      </c>
      <c r="J271" t="s">
        <v>74</v>
      </c>
      <c r="K271" s="2">
        <v>2</v>
      </c>
      <c r="L271" t="s">
        <v>143</v>
      </c>
      <c r="M271" s="3">
        <v>200</v>
      </c>
      <c r="N271" t="s">
        <v>45</v>
      </c>
      <c r="O271" t="s">
        <v>16</v>
      </c>
      <c r="P271" t="s">
        <v>113</v>
      </c>
      <c r="Q271" t="s">
        <v>146</v>
      </c>
      <c r="R271" s="3">
        <v>400</v>
      </c>
      <c r="S271" s="4">
        <v>0</v>
      </c>
      <c r="T271" t="s">
        <v>145</v>
      </c>
      <c r="U271">
        <v>400</v>
      </c>
      <c r="V271">
        <v>1</v>
      </c>
      <c r="W271"/>
    </row>
    <row r="272" spans="1:23" x14ac:dyDescent="0.3">
      <c r="A272">
        <v>271</v>
      </c>
      <c r="B272" s="1">
        <v>45562</v>
      </c>
      <c r="C272" t="s">
        <v>161</v>
      </c>
      <c r="D272">
        <v>2024</v>
      </c>
      <c r="E272" t="s">
        <v>12</v>
      </c>
      <c r="F272" t="s">
        <v>7</v>
      </c>
      <c r="G272" t="s">
        <v>13</v>
      </c>
      <c r="H272" t="s">
        <v>62</v>
      </c>
      <c r="I272" t="s">
        <v>63</v>
      </c>
      <c r="J272" t="s">
        <v>64</v>
      </c>
      <c r="K272" s="2">
        <v>3</v>
      </c>
      <c r="L272" t="s">
        <v>143</v>
      </c>
      <c r="M272" s="3">
        <v>150</v>
      </c>
      <c r="N272" t="s">
        <v>51</v>
      </c>
      <c r="O272" t="s">
        <v>6</v>
      </c>
      <c r="P272" t="s">
        <v>113</v>
      </c>
      <c r="Q272" t="s">
        <v>144</v>
      </c>
      <c r="R272" s="3">
        <v>450</v>
      </c>
      <c r="S272" s="4">
        <v>22.5</v>
      </c>
      <c r="T272" t="s">
        <v>145</v>
      </c>
      <c r="U272">
        <v>427.5</v>
      </c>
      <c r="V272">
        <v>1</v>
      </c>
      <c r="W272"/>
    </row>
    <row r="273" spans="1:23" x14ac:dyDescent="0.3">
      <c r="A273">
        <v>272</v>
      </c>
      <c r="B273" s="1">
        <v>45563</v>
      </c>
      <c r="C273" t="s">
        <v>161</v>
      </c>
      <c r="D273">
        <v>2024</v>
      </c>
      <c r="E273" t="s">
        <v>15</v>
      </c>
      <c r="F273" t="s">
        <v>7</v>
      </c>
      <c r="G273" t="s">
        <v>16</v>
      </c>
      <c r="H273" t="s">
        <v>66</v>
      </c>
      <c r="I273" t="s">
        <v>59</v>
      </c>
      <c r="J273" t="s">
        <v>67</v>
      </c>
      <c r="K273" s="2">
        <v>1</v>
      </c>
      <c r="L273" t="s">
        <v>143</v>
      </c>
      <c r="M273" s="3">
        <v>20</v>
      </c>
      <c r="N273" t="s">
        <v>47</v>
      </c>
      <c r="O273" t="s">
        <v>10</v>
      </c>
      <c r="P273" t="s">
        <v>115</v>
      </c>
      <c r="Q273" t="s">
        <v>144</v>
      </c>
      <c r="R273" s="3">
        <v>20</v>
      </c>
      <c r="S273" s="4">
        <v>0</v>
      </c>
      <c r="T273" t="s">
        <v>145</v>
      </c>
      <c r="U273">
        <v>20</v>
      </c>
      <c r="V273">
        <v>1</v>
      </c>
      <c r="W273"/>
    </row>
    <row r="274" spans="1:23" x14ac:dyDescent="0.3">
      <c r="A274">
        <v>273</v>
      </c>
      <c r="B274" s="1">
        <v>45564</v>
      </c>
      <c r="C274" t="s">
        <v>161</v>
      </c>
      <c r="D274">
        <v>2024</v>
      </c>
      <c r="E274" t="s">
        <v>5</v>
      </c>
      <c r="F274" t="s">
        <v>7</v>
      </c>
      <c r="G274" t="s">
        <v>6</v>
      </c>
      <c r="H274" t="s">
        <v>69</v>
      </c>
      <c r="I274" t="s">
        <v>59</v>
      </c>
      <c r="J274" t="s">
        <v>67</v>
      </c>
      <c r="K274" s="2">
        <v>2</v>
      </c>
      <c r="L274" t="s">
        <v>143</v>
      </c>
      <c r="M274" s="3">
        <v>50</v>
      </c>
      <c r="N274" t="s">
        <v>49</v>
      </c>
      <c r="O274" t="s">
        <v>13</v>
      </c>
      <c r="P274" t="s">
        <v>117</v>
      </c>
      <c r="Q274" t="s">
        <v>146</v>
      </c>
      <c r="R274" s="3">
        <v>100</v>
      </c>
      <c r="S274" s="4">
        <v>4</v>
      </c>
      <c r="T274" t="s">
        <v>145</v>
      </c>
      <c r="U274">
        <v>96</v>
      </c>
      <c r="V274">
        <v>1</v>
      </c>
      <c r="W274"/>
    </row>
    <row r="275" spans="1:23" x14ac:dyDescent="0.3">
      <c r="A275">
        <v>274</v>
      </c>
      <c r="B275" s="1">
        <v>45565</v>
      </c>
      <c r="C275" t="s">
        <v>161</v>
      </c>
      <c r="D275">
        <v>2024</v>
      </c>
      <c r="E275" t="s">
        <v>9</v>
      </c>
      <c r="F275" t="s">
        <v>7</v>
      </c>
      <c r="G275" t="s">
        <v>10</v>
      </c>
      <c r="H275" t="s">
        <v>71</v>
      </c>
      <c r="I275" t="s">
        <v>63</v>
      </c>
      <c r="J275" t="s">
        <v>64</v>
      </c>
      <c r="K275" s="2">
        <v>4</v>
      </c>
      <c r="L275" t="s">
        <v>143</v>
      </c>
      <c r="M275" s="3">
        <v>300</v>
      </c>
      <c r="N275" t="s">
        <v>51</v>
      </c>
      <c r="O275" t="s">
        <v>6</v>
      </c>
      <c r="P275" t="s">
        <v>113</v>
      </c>
      <c r="Q275" t="s">
        <v>144</v>
      </c>
      <c r="R275" s="3">
        <v>1200</v>
      </c>
      <c r="S275" s="4">
        <v>60</v>
      </c>
      <c r="T275" t="s">
        <v>149</v>
      </c>
      <c r="U275">
        <v>1140</v>
      </c>
      <c r="V275">
        <v>1</v>
      </c>
      <c r="W275"/>
    </row>
    <row r="276" spans="1:23" x14ac:dyDescent="0.3">
      <c r="A276">
        <v>275</v>
      </c>
      <c r="B276" s="1">
        <v>45301</v>
      </c>
      <c r="C276" t="s">
        <v>153</v>
      </c>
      <c r="D276">
        <v>2024</v>
      </c>
      <c r="E276" t="s">
        <v>12</v>
      </c>
      <c r="F276" t="s">
        <v>7</v>
      </c>
      <c r="G276" t="s">
        <v>13</v>
      </c>
      <c r="H276" t="s">
        <v>58</v>
      </c>
      <c r="I276" t="s">
        <v>59</v>
      </c>
      <c r="J276" t="s">
        <v>60</v>
      </c>
      <c r="K276" s="2"/>
      <c r="L276" t="s">
        <v>147</v>
      </c>
      <c r="M276" s="3">
        <v>800</v>
      </c>
      <c r="N276" t="s">
        <v>45</v>
      </c>
      <c r="O276" t="s">
        <v>10</v>
      </c>
      <c r="P276" t="s">
        <v>113</v>
      </c>
      <c r="Q276" t="s">
        <v>148</v>
      </c>
      <c r="R276" s="3"/>
      <c r="S276" s="4"/>
      <c r="V276">
        <v>1</v>
      </c>
      <c r="W276"/>
    </row>
    <row r="277" spans="1:23" x14ac:dyDescent="0.3">
      <c r="A277">
        <v>276</v>
      </c>
      <c r="B277" s="1">
        <v>45332</v>
      </c>
      <c r="C277" t="s">
        <v>157</v>
      </c>
      <c r="D277">
        <v>2024</v>
      </c>
      <c r="E277" t="s">
        <v>15</v>
      </c>
      <c r="F277" t="s">
        <v>7</v>
      </c>
      <c r="G277" t="s">
        <v>16</v>
      </c>
      <c r="H277" t="s">
        <v>62</v>
      </c>
      <c r="I277" t="s">
        <v>63</v>
      </c>
      <c r="J277" t="s">
        <v>64</v>
      </c>
      <c r="K277" s="2">
        <v>2</v>
      </c>
      <c r="L277" t="s">
        <v>143</v>
      </c>
      <c r="M277" s="3">
        <v>150</v>
      </c>
      <c r="N277" t="s">
        <v>51</v>
      </c>
      <c r="O277" t="s">
        <v>6</v>
      </c>
      <c r="P277" t="s">
        <v>113</v>
      </c>
      <c r="Q277" t="s">
        <v>144</v>
      </c>
      <c r="R277" s="3">
        <v>300</v>
      </c>
      <c r="S277" s="4">
        <v>15</v>
      </c>
      <c r="T277" t="s">
        <v>145</v>
      </c>
      <c r="U277">
        <v>285</v>
      </c>
      <c r="V277">
        <v>1</v>
      </c>
      <c r="W277"/>
    </row>
    <row r="278" spans="1:23" x14ac:dyDescent="0.3">
      <c r="A278">
        <v>277</v>
      </c>
      <c r="B278" s="1">
        <v>45361</v>
      </c>
      <c r="C278" t="s">
        <v>158</v>
      </c>
      <c r="D278">
        <v>2024</v>
      </c>
      <c r="E278" t="s">
        <v>5</v>
      </c>
      <c r="F278" t="s">
        <v>7</v>
      </c>
      <c r="G278" t="s">
        <v>6</v>
      </c>
      <c r="H278" t="s">
        <v>66</v>
      </c>
      <c r="I278" t="s">
        <v>59</v>
      </c>
      <c r="J278" t="s">
        <v>67</v>
      </c>
      <c r="K278" s="2">
        <v>5</v>
      </c>
      <c r="L278" t="s">
        <v>143</v>
      </c>
      <c r="M278" s="3">
        <v>20</v>
      </c>
      <c r="N278" t="s">
        <v>47</v>
      </c>
      <c r="O278" t="s">
        <v>16</v>
      </c>
      <c r="P278" t="s">
        <v>115</v>
      </c>
      <c r="Q278" t="s">
        <v>146</v>
      </c>
      <c r="R278" s="3">
        <v>100</v>
      </c>
      <c r="S278" s="4">
        <v>6</v>
      </c>
      <c r="T278" t="s">
        <v>145</v>
      </c>
      <c r="U278">
        <v>94</v>
      </c>
      <c r="V278">
        <v>1</v>
      </c>
      <c r="W278"/>
    </row>
    <row r="279" spans="1:23" x14ac:dyDescent="0.3">
      <c r="A279">
        <v>278</v>
      </c>
      <c r="B279" s="1">
        <v>45392</v>
      </c>
      <c r="C279" t="s">
        <v>156</v>
      </c>
      <c r="D279">
        <v>2024</v>
      </c>
      <c r="E279" t="s">
        <v>9</v>
      </c>
      <c r="F279" t="s">
        <v>7</v>
      </c>
      <c r="G279" t="s">
        <v>10</v>
      </c>
      <c r="H279" t="s">
        <v>69</v>
      </c>
      <c r="I279" t="s">
        <v>59</v>
      </c>
      <c r="J279" t="s">
        <v>67</v>
      </c>
      <c r="K279" s="2">
        <v>1</v>
      </c>
      <c r="L279" t="s">
        <v>143</v>
      </c>
      <c r="M279" s="3">
        <v>50</v>
      </c>
      <c r="N279" t="s">
        <v>49</v>
      </c>
      <c r="O279" t="s">
        <v>6</v>
      </c>
      <c r="P279" t="s">
        <v>117</v>
      </c>
      <c r="Q279" t="s">
        <v>144</v>
      </c>
      <c r="R279" s="3">
        <v>50</v>
      </c>
      <c r="S279" s="4">
        <v>0</v>
      </c>
      <c r="T279" t="s">
        <v>145</v>
      </c>
      <c r="U279">
        <v>50</v>
      </c>
      <c r="V279">
        <v>1</v>
      </c>
      <c r="W279"/>
    </row>
    <row r="280" spans="1:23" x14ac:dyDescent="0.3">
      <c r="A280">
        <v>279</v>
      </c>
      <c r="B280" s="1">
        <v>45422</v>
      </c>
      <c r="C280" t="s">
        <v>159</v>
      </c>
      <c r="D280">
        <v>2024</v>
      </c>
      <c r="E280" t="s">
        <v>12</v>
      </c>
      <c r="F280" t="s">
        <v>7</v>
      </c>
      <c r="G280" t="s">
        <v>13</v>
      </c>
      <c r="H280" t="s">
        <v>71</v>
      </c>
      <c r="I280" t="s">
        <v>63</v>
      </c>
      <c r="J280" t="s">
        <v>64</v>
      </c>
      <c r="K280" s="2">
        <v>3</v>
      </c>
      <c r="L280" t="s">
        <v>143</v>
      </c>
      <c r="M280" s="3">
        <v>300</v>
      </c>
      <c r="N280" t="s">
        <v>51</v>
      </c>
      <c r="O280" t="s">
        <v>10</v>
      </c>
      <c r="P280" t="s">
        <v>113</v>
      </c>
      <c r="Q280" t="s">
        <v>146</v>
      </c>
      <c r="R280" s="3">
        <v>900</v>
      </c>
      <c r="S280" s="4">
        <v>63</v>
      </c>
      <c r="T280" t="s">
        <v>145</v>
      </c>
      <c r="U280">
        <v>837</v>
      </c>
      <c r="V280">
        <v>1</v>
      </c>
      <c r="W280"/>
    </row>
    <row r="281" spans="1:23" x14ac:dyDescent="0.3">
      <c r="A281">
        <v>280</v>
      </c>
      <c r="B281" s="1">
        <v>45453</v>
      </c>
      <c r="C281" t="s">
        <v>164</v>
      </c>
      <c r="D281">
        <v>2024</v>
      </c>
      <c r="E281" t="s">
        <v>15</v>
      </c>
      <c r="F281" t="s">
        <v>7</v>
      </c>
      <c r="G281" t="s">
        <v>16</v>
      </c>
      <c r="H281" t="s">
        <v>58</v>
      </c>
      <c r="I281" t="s">
        <v>59</v>
      </c>
      <c r="J281" t="s">
        <v>60</v>
      </c>
      <c r="K281" s="2">
        <v>2</v>
      </c>
      <c r="L281" t="s">
        <v>143</v>
      </c>
      <c r="M281" s="3">
        <v>800</v>
      </c>
      <c r="N281" t="s">
        <v>45</v>
      </c>
      <c r="O281" t="s">
        <v>13</v>
      </c>
      <c r="P281" t="s">
        <v>113</v>
      </c>
      <c r="Q281" t="s">
        <v>144</v>
      </c>
      <c r="R281" s="3">
        <v>1600</v>
      </c>
      <c r="S281" s="4">
        <v>64</v>
      </c>
      <c r="T281" t="s">
        <v>149</v>
      </c>
      <c r="U281">
        <v>1536</v>
      </c>
      <c r="V281">
        <v>1</v>
      </c>
      <c r="W281"/>
    </row>
    <row r="282" spans="1:23" x14ac:dyDescent="0.3">
      <c r="A282">
        <v>281</v>
      </c>
      <c r="B282" s="1">
        <v>45483</v>
      </c>
      <c r="C282" t="s">
        <v>160</v>
      </c>
      <c r="D282">
        <v>2024</v>
      </c>
      <c r="E282" t="s">
        <v>5</v>
      </c>
      <c r="F282" t="s">
        <v>7</v>
      </c>
      <c r="G282" t="s">
        <v>6</v>
      </c>
      <c r="H282" t="s">
        <v>62</v>
      </c>
      <c r="I282" t="s">
        <v>63</v>
      </c>
      <c r="J282" t="s">
        <v>64</v>
      </c>
      <c r="K282" s="2">
        <v>4</v>
      </c>
      <c r="L282" t="s">
        <v>143</v>
      </c>
      <c r="M282" s="3">
        <v>150</v>
      </c>
      <c r="N282" t="s">
        <v>51</v>
      </c>
      <c r="O282" t="s">
        <v>6</v>
      </c>
      <c r="P282" t="s">
        <v>113</v>
      </c>
      <c r="Q282" t="s">
        <v>144</v>
      </c>
      <c r="R282" s="3">
        <v>600</v>
      </c>
      <c r="S282" s="4">
        <v>30</v>
      </c>
      <c r="T282" t="s">
        <v>145</v>
      </c>
      <c r="U282">
        <v>570</v>
      </c>
      <c r="V282">
        <v>1</v>
      </c>
      <c r="W282"/>
    </row>
    <row r="283" spans="1:23" x14ac:dyDescent="0.3">
      <c r="A283">
        <v>282</v>
      </c>
      <c r="B283" s="1">
        <v>45514</v>
      </c>
      <c r="C283" t="s">
        <v>154</v>
      </c>
      <c r="D283">
        <v>2024</v>
      </c>
      <c r="E283" t="s">
        <v>9</v>
      </c>
      <c r="F283" t="s">
        <v>7</v>
      </c>
      <c r="G283" t="s">
        <v>10</v>
      </c>
      <c r="H283" t="s">
        <v>66</v>
      </c>
      <c r="I283" t="s">
        <v>59</v>
      </c>
      <c r="J283" t="s">
        <v>67</v>
      </c>
      <c r="K283" s="2">
        <v>1</v>
      </c>
      <c r="L283" t="s">
        <v>143</v>
      </c>
      <c r="M283" s="3">
        <v>20</v>
      </c>
      <c r="N283" t="s">
        <v>47</v>
      </c>
      <c r="O283" t="s">
        <v>10</v>
      </c>
      <c r="P283" t="s">
        <v>115</v>
      </c>
      <c r="Q283" t="s">
        <v>148</v>
      </c>
      <c r="R283" s="3">
        <v>20</v>
      </c>
      <c r="S283" s="4">
        <v>0</v>
      </c>
      <c r="T283" t="s">
        <v>145</v>
      </c>
      <c r="U283">
        <v>20</v>
      </c>
      <c r="V283">
        <v>1</v>
      </c>
      <c r="W283"/>
    </row>
    <row r="284" spans="1:23" x14ac:dyDescent="0.3">
      <c r="A284">
        <v>283</v>
      </c>
      <c r="B284" s="1">
        <v>45545</v>
      </c>
      <c r="C284" t="s">
        <v>161</v>
      </c>
      <c r="D284">
        <v>2024</v>
      </c>
      <c r="E284" t="s">
        <v>12</v>
      </c>
      <c r="F284" t="s">
        <v>7</v>
      </c>
      <c r="G284" t="s">
        <v>13</v>
      </c>
      <c r="H284" t="s">
        <v>69</v>
      </c>
      <c r="I284" t="s">
        <v>59</v>
      </c>
      <c r="J284" t="s">
        <v>67</v>
      </c>
      <c r="K284" s="2">
        <v>2</v>
      </c>
      <c r="L284" t="s">
        <v>143</v>
      </c>
      <c r="M284" s="3">
        <v>50</v>
      </c>
      <c r="N284" t="s">
        <v>49</v>
      </c>
      <c r="O284" t="s">
        <v>6</v>
      </c>
      <c r="P284" t="s">
        <v>117</v>
      </c>
      <c r="Q284" t="s">
        <v>146</v>
      </c>
      <c r="R284" s="3">
        <v>100</v>
      </c>
      <c r="S284" s="4">
        <v>5</v>
      </c>
      <c r="T284" t="s">
        <v>145</v>
      </c>
      <c r="U284">
        <v>95</v>
      </c>
      <c r="V284">
        <v>1</v>
      </c>
      <c r="W284"/>
    </row>
    <row r="285" spans="1:23" x14ac:dyDescent="0.3">
      <c r="A285">
        <v>284</v>
      </c>
      <c r="B285" s="1">
        <v>45575</v>
      </c>
      <c r="C285" t="s">
        <v>155</v>
      </c>
      <c r="D285">
        <v>2024</v>
      </c>
      <c r="E285" t="s">
        <v>15</v>
      </c>
      <c r="F285" t="s">
        <v>7</v>
      </c>
      <c r="G285" t="s">
        <v>16</v>
      </c>
      <c r="H285" t="s">
        <v>71</v>
      </c>
      <c r="I285" t="s">
        <v>63</v>
      </c>
      <c r="J285" t="s">
        <v>64</v>
      </c>
      <c r="K285" s="2">
        <v>5</v>
      </c>
      <c r="L285" t="s">
        <v>143</v>
      </c>
      <c r="M285" s="3">
        <v>300</v>
      </c>
      <c r="N285" t="s">
        <v>51</v>
      </c>
      <c r="O285" t="s">
        <v>16</v>
      </c>
      <c r="P285" t="s">
        <v>113</v>
      </c>
      <c r="Q285" t="s">
        <v>144</v>
      </c>
      <c r="R285" s="3">
        <v>1500</v>
      </c>
      <c r="S285" s="4">
        <v>90</v>
      </c>
      <c r="T285" t="s">
        <v>149</v>
      </c>
      <c r="U285">
        <v>1410</v>
      </c>
      <c r="V285">
        <v>1</v>
      </c>
      <c r="W285"/>
    </row>
    <row r="286" spans="1:23" x14ac:dyDescent="0.3">
      <c r="A286">
        <v>285</v>
      </c>
      <c r="B286" s="1">
        <v>45606</v>
      </c>
      <c r="C286" t="s">
        <v>162</v>
      </c>
      <c r="D286">
        <v>2024</v>
      </c>
      <c r="E286" t="s">
        <v>5</v>
      </c>
      <c r="F286" t="s">
        <v>7</v>
      </c>
      <c r="G286" t="s">
        <v>6</v>
      </c>
      <c r="H286" t="s">
        <v>58</v>
      </c>
      <c r="I286" t="s">
        <v>59</v>
      </c>
      <c r="J286" t="s">
        <v>60</v>
      </c>
      <c r="K286" s="2">
        <v>3</v>
      </c>
      <c r="L286" t="s">
        <v>143</v>
      </c>
      <c r="M286" s="3">
        <v>800</v>
      </c>
      <c r="N286" t="s">
        <v>45</v>
      </c>
      <c r="O286" t="s">
        <v>6</v>
      </c>
      <c r="P286" t="s">
        <v>113</v>
      </c>
      <c r="Q286" t="s">
        <v>144</v>
      </c>
      <c r="R286" s="3">
        <v>2400</v>
      </c>
      <c r="S286" s="4">
        <v>120</v>
      </c>
      <c r="T286" t="s">
        <v>150</v>
      </c>
      <c r="U286">
        <v>2280</v>
      </c>
      <c r="V286">
        <v>1</v>
      </c>
      <c r="W286"/>
    </row>
    <row r="287" spans="1:23" x14ac:dyDescent="0.3">
      <c r="A287">
        <v>286</v>
      </c>
      <c r="B287" s="1">
        <v>45636</v>
      </c>
      <c r="C287" t="s">
        <v>163</v>
      </c>
      <c r="D287">
        <v>2024</v>
      </c>
      <c r="E287" t="s">
        <v>9</v>
      </c>
      <c r="F287" t="s">
        <v>7</v>
      </c>
      <c r="G287" t="s">
        <v>10</v>
      </c>
      <c r="H287" t="s">
        <v>62</v>
      </c>
      <c r="I287" t="s">
        <v>63</v>
      </c>
      <c r="J287" t="s">
        <v>64</v>
      </c>
      <c r="K287" s="2"/>
      <c r="L287" t="s">
        <v>147</v>
      </c>
      <c r="M287" s="3">
        <v>150</v>
      </c>
      <c r="N287" t="s">
        <v>51</v>
      </c>
      <c r="O287" t="s">
        <v>10</v>
      </c>
      <c r="P287" t="s">
        <v>113</v>
      </c>
      <c r="Q287" t="s">
        <v>146</v>
      </c>
      <c r="R287" s="3"/>
      <c r="S287" s="4"/>
      <c r="V287">
        <v>1</v>
      </c>
      <c r="W287"/>
    </row>
    <row r="288" spans="1:23" x14ac:dyDescent="0.3">
      <c r="A288">
        <v>287</v>
      </c>
      <c r="B288" s="1">
        <v>45578</v>
      </c>
      <c r="C288" t="s">
        <v>155</v>
      </c>
      <c r="D288">
        <v>2024</v>
      </c>
      <c r="E288" t="s">
        <v>12</v>
      </c>
      <c r="F288" t="s">
        <v>7</v>
      </c>
      <c r="G288" t="s">
        <v>13</v>
      </c>
      <c r="H288" t="s">
        <v>66</v>
      </c>
      <c r="I288" t="s">
        <v>59</v>
      </c>
      <c r="J288" t="s">
        <v>67</v>
      </c>
      <c r="K288" s="2">
        <v>2</v>
      </c>
      <c r="L288" t="s">
        <v>143</v>
      </c>
      <c r="M288" s="3">
        <v>20</v>
      </c>
      <c r="N288" t="s">
        <v>47</v>
      </c>
      <c r="O288" t="s">
        <v>13</v>
      </c>
      <c r="P288" t="s">
        <v>115</v>
      </c>
      <c r="Q288" t="s">
        <v>144</v>
      </c>
      <c r="R288" s="3">
        <v>40</v>
      </c>
      <c r="S288" s="4">
        <v>1.6</v>
      </c>
      <c r="T288" t="s">
        <v>145</v>
      </c>
      <c r="U288">
        <v>38.4</v>
      </c>
      <c r="V288">
        <v>1</v>
      </c>
      <c r="W288"/>
    </row>
    <row r="289" spans="1:23" x14ac:dyDescent="0.3">
      <c r="A289">
        <v>288</v>
      </c>
      <c r="B289" s="1">
        <v>45579</v>
      </c>
      <c r="C289" t="s">
        <v>155</v>
      </c>
      <c r="D289">
        <v>2024</v>
      </c>
      <c r="E289" t="s">
        <v>15</v>
      </c>
      <c r="F289" t="s">
        <v>7</v>
      </c>
      <c r="G289" t="s">
        <v>16</v>
      </c>
      <c r="H289" t="s">
        <v>69</v>
      </c>
      <c r="I289" t="s">
        <v>59</v>
      </c>
      <c r="J289" t="s">
        <v>67</v>
      </c>
      <c r="K289" s="2">
        <v>1</v>
      </c>
      <c r="L289" t="s">
        <v>143</v>
      </c>
      <c r="M289" s="3">
        <v>50</v>
      </c>
      <c r="N289" t="s">
        <v>49</v>
      </c>
      <c r="O289" t="s">
        <v>6</v>
      </c>
      <c r="P289" t="s">
        <v>117</v>
      </c>
      <c r="Q289" t="s">
        <v>144</v>
      </c>
      <c r="R289" s="3">
        <v>50</v>
      </c>
      <c r="S289" s="4">
        <v>0</v>
      </c>
      <c r="T289" t="s">
        <v>145</v>
      </c>
      <c r="U289">
        <v>50</v>
      </c>
      <c r="V289">
        <v>1</v>
      </c>
      <c r="W289"/>
    </row>
    <row r="290" spans="1:23" x14ac:dyDescent="0.3">
      <c r="A290">
        <v>289</v>
      </c>
      <c r="B290" s="1">
        <v>45580</v>
      </c>
      <c r="C290" t="s">
        <v>155</v>
      </c>
      <c r="D290">
        <v>2024</v>
      </c>
      <c r="E290" t="s">
        <v>5</v>
      </c>
      <c r="F290" t="s">
        <v>7</v>
      </c>
      <c r="G290" t="s">
        <v>6</v>
      </c>
      <c r="H290" t="s">
        <v>71</v>
      </c>
      <c r="I290" t="s">
        <v>63</v>
      </c>
      <c r="J290" t="s">
        <v>64</v>
      </c>
      <c r="K290" s="2">
        <v>4</v>
      </c>
      <c r="L290" t="s">
        <v>143</v>
      </c>
      <c r="M290" s="3">
        <v>300</v>
      </c>
      <c r="N290" t="s">
        <v>51</v>
      </c>
      <c r="O290" t="s">
        <v>10</v>
      </c>
      <c r="P290" t="s">
        <v>113</v>
      </c>
      <c r="Q290" t="s">
        <v>146</v>
      </c>
      <c r="R290" s="3">
        <v>1200</v>
      </c>
      <c r="S290" s="4">
        <v>84</v>
      </c>
      <c r="T290" t="s">
        <v>149</v>
      </c>
      <c r="U290">
        <v>1116</v>
      </c>
      <c r="V290">
        <v>1</v>
      </c>
      <c r="W290"/>
    </row>
    <row r="291" spans="1:23" x14ac:dyDescent="0.3">
      <c r="A291">
        <v>290</v>
      </c>
      <c r="B291" s="1">
        <v>45581</v>
      </c>
      <c r="C291" t="s">
        <v>155</v>
      </c>
      <c r="D291">
        <v>2024</v>
      </c>
      <c r="E291" t="s">
        <v>9</v>
      </c>
      <c r="F291" t="s">
        <v>7</v>
      </c>
      <c r="G291" t="s">
        <v>10</v>
      </c>
      <c r="H291" t="s">
        <v>58</v>
      </c>
      <c r="I291" t="s">
        <v>59</v>
      </c>
      <c r="J291" t="s">
        <v>60</v>
      </c>
      <c r="K291" s="2">
        <v>2</v>
      </c>
      <c r="L291" t="s">
        <v>143</v>
      </c>
      <c r="M291" s="3">
        <v>800</v>
      </c>
      <c r="N291" t="s">
        <v>45</v>
      </c>
      <c r="O291" t="s">
        <v>6</v>
      </c>
      <c r="P291" t="s">
        <v>113</v>
      </c>
      <c r="Q291" t="s">
        <v>144</v>
      </c>
      <c r="R291" s="3">
        <v>1600</v>
      </c>
      <c r="S291" s="4">
        <v>80</v>
      </c>
      <c r="T291" t="s">
        <v>149</v>
      </c>
      <c r="U291">
        <v>1520</v>
      </c>
      <c r="V291">
        <v>1</v>
      </c>
      <c r="W291"/>
    </row>
    <row r="292" spans="1:23" x14ac:dyDescent="0.3">
      <c r="A292">
        <v>291</v>
      </c>
      <c r="B292" s="1">
        <v>45582</v>
      </c>
      <c r="C292" t="s">
        <v>155</v>
      </c>
      <c r="D292">
        <v>2024</v>
      </c>
      <c r="E292" t="s">
        <v>12</v>
      </c>
      <c r="F292" t="s">
        <v>7</v>
      </c>
      <c r="G292" t="s">
        <v>13</v>
      </c>
      <c r="H292" t="s">
        <v>73</v>
      </c>
      <c r="I292" t="s">
        <v>59</v>
      </c>
      <c r="J292" t="s">
        <v>74</v>
      </c>
      <c r="K292" s="2">
        <v>5</v>
      </c>
      <c r="L292" t="s">
        <v>143</v>
      </c>
      <c r="M292" s="3">
        <v>200</v>
      </c>
      <c r="N292" t="s">
        <v>51</v>
      </c>
      <c r="O292" t="s">
        <v>6</v>
      </c>
      <c r="P292" t="s">
        <v>113</v>
      </c>
      <c r="Q292" t="s">
        <v>148</v>
      </c>
      <c r="R292" s="3">
        <v>1000</v>
      </c>
      <c r="S292" s="4">
        <v>50</v>
      </c>
      <c r="T292" t="s">
        <v>149</v>
      </c>
      <c r="U292">
        <v>950</v>
      </c>
      <c r="V292">
        <v>1</v>
      </c>
      <c r="W292"/>
    </row>
    <row r="293" spans="1:23" x14ac:dyDescent="0.3">
      <c r="A293">
        <v>292</v>
      </c>
      <c r="B293" s="1">
        <v>45583</v>
      </c>
      <c r="C293" t="s">
        <v>155</v>
      </c>
      <c r="D293">
        <v>2024</v>
      </c>
      <c r="E293" t="s">
        <v>15</v>
      </c>
      <c r="F293" t="s">
        <v>7</v>
      </c>
      <c r="G293" t="s">
        <v>16</v>
      </c>
      <c r="H293" t="s">
        <v>62</v>
      </c>
      <c r="I293" t="s">
        <v>63</v>
      </c>
      <c r="J293" t="s">
        <v>64</v>
      </c>
      <c r="K293" s="2">
        <v>3</v>
      </c>
      <c r="L293" t="s">
        <v>143</v>
      </c>
      <c r="M293" s="3">
        <v>150</v>
      </c>
      <c r="N293" t="s">
        <v>47</v>
      </c>
      <c r="O293" t="s">
        <v>10</v>
      </c>
      <c r="P293" t="s">
        <v>115</v>
      </c>
      <c r="Q293" t="s">
        <v>144</v>
      </c>
      <c r="R293" s="3">
        <v>450</v>
      </c>
      <c r="S293" s="4">
        <v>31.5</v>
      </c>
      <c r="T293" t="s">
        <v>145</v>
      </c>
      <c r="U293">
        <v>418.5</v>
      </c>
      <c r="V293">
        <v>1</v>
      </c>
      <c r="W293"/>
    </row>
    <row r="294" spans="1:23" x14ac:dyDescent="0.3">
      <c r="A294">
        <v>293</v>
      </c>
      <c r="B294" s="1">
        <v>45584</v>
      </c>
      <c r="C294" t="s">
        <v>155</v>
      </c>
      <c r="D294">
        <v>2024</v>
      </c>
      <c r="E294" t="s">
        <v>5</v>
      </c>
      <c r="F294" t="s">
        <v>7</v>
      </c>
      <c r="G294" t="s">
        <v>6</v>
      </c>
      <c r="H294" t="s">
        <v>66</v>
      </c>
      <c r="I294" t="s">
        <v>59</v>
      </c>
      <c r="J294" t="s">
        <v>67</v>
      </c>
      <c r="K294" s="2">
        <v>1</v>
      </c>
      <c r="L294" t="s">
        <v>143</v>
      </c>
      <c r="M294" s="3">
        <v>20</v>
      </c>
      <c r="N294" t="s">
        <v>49</v>
      </c>
      <c r="O294" t="s">
        <v>13</v>
      </c>
      <c r="P294" t="s">
        <v>117</v>
      </c>
      <c r="Q294" t="s">
        <v>146</v>
      </c>
      <c r="R294" s="3">
        <v>20</v>
      </c>
      <c r="S294" s="4">
        <v>0</v>
      </c>
      <c r="T294" t="s">
        <v>145</v>
      </c>
      <c r="U294">
        <v>20</v>
      </c>
      <c r="V294">
        <v>1</v>
      </c>
      <c r="W294"/>
    </row>
    <row r="295" spans="1:23" x14ac:dyDescent="0.3">
      <c r="A295">
        <v>294</v>
      </c>
      <c r="B295" s="1">
        <v>45585</v>
      </c>
      <c r="C295" t="s">
        <v>155</v>
      </c>
      <c r="D295">
        <v>2024</v>
      </c>
      <c r="E295" t="s">
        <v>9</v>
      </c>
      <c r="F295" t="s">
        <v>7</v>
      </c>
      <c r="G295" t="s">
        <v>10</v>
      </c>
      <c r="H295" t="s">
        <v>69</v>
      </c>
      <c r="I295" t="s">
        <v>59</v>
      </c>
      <c r="J295" t="s">
        <v>67</v>
      </c>
      <c r="K295" s="2">
        <v>2</v>
      </c>
      <c r="L295" t="s">
        <v>143</v>
      </c>
      <c r="M295" s="3">
        <v>50</v>
      </c>
      <c r="N295" t="s">
        <v>51</v>
      </c>
      <c r="O295" t="s">
        <v>6</v>
      </c>
      <c r="P295" t="s">
        <v>113</v>
      </c>
      <c r="Q295" t="s">
        <v>144</v>
      </c>
      <c r="R295" s="3">
        <v>100</v>
      </c>
      <c r="S295" s="4">
        <v>5</v>
      </c>
      <c r="T295" t="s">
        <v>145</v>
      </c>
      <c r="U295">
        <v>95</v>
      </c>
      <c r="V295">
        <v>1</v>
      </c>
      <c r="W295"/>
    </row>
    <row r="296" spans="1:23" x14ac:dyDescent="0.3">
      <c r="A296">
        <v>295</v>
      </c>
      <c r="B296" s="1">
        <v>45586</v>
      </c>
      <c r="C296" t="s">
        <v>155</v>
      </c>
      <c r="D296">
        <v>2024</v>
      </c>
      <c r="E296" t="s">
        <v>12</v>
      </c>
      <c r="F296" t="s">
        <v>7</v>
      </c>
      <c r="G296" t="s">
        <v>13</v>
      </c>
      <c r="H296" t="s">
        <v>71</v>
      </c>
      <c r="I296" t="s">
        <v>63</v>
      </c>
      <c r="J296" t="s">
        <v>64</v>
      </c>
      <c r="K296" s="2"/>
      <c r="L296" t="s">
        <v>147</v>
      </c>
      <c r="M296" s="3">
        <v>300</v>
      </c>
      <c r="N296" t="s">
        <v>45</v>
      </c>
      <c r="O296" t="s">
        <v>16</v>
      </c>
      <c r="P296" t="s">
        <v>113</v>
      </c>
      <c r="Q296" t="s">
        <v>144</v>
      </c>
      <c r="R296" s="3"/>
      <c r="S296" s="4"/>
      <c r="V296">
        <v>1</v>
      </c>
      <c r="W296"/>
    </row>
    <row r="297" spans="1:23" x14ac:dyDescent="0.3">
      <c r="A297">
        <v>296</v>
      </c>
      <c r="B297" s="1">
        <v>45587</v>
      </c>
      <c r="C297" t="s">
        <v>155</v>
      </c>
      <c r="D297">
        <v>2024</v>
      </c>
      <c r="E297" t="s">
        <v>15</v>
      </c>
      <c r="F297" t="s">
        <v>7</v>
      </c>
      <c r="G297" t="s">
        <v>16</v>
      </c>
      <c r="H297" t="s">
        <v>58</v>
      </c>
      <c r="I297" t="s">
        <v>59</v>
      </c>
      <c r="J297" t="s">
        <v>60</v>
      </c>
      <c r="K297" s="2">
        <v>4</v>
      </c>
      <c r="L297" t="s">
        <v>143</v>
      </c>
      <c r="M297" s="3">
        <v>800</v>
      </c>
      <c r="N297" t="s">
        <v>51</v>
      </c>
      <c r="O297" t="s">
        <v>6</v>
      </c>
      <c r="P297" t="s">
        <v>113</v>
      </c>
      <c r="Q297" t="s">
        <v>146</v>
      </c>
      <c r="R297" s="3">
        <v>3200</v>
      </c>
      <c r="S297" s="4">
        <v>160</v>
      </c>
      <c r="T297" t="s">
        <v>150</v>
      </c>
      <c r="U297">
        <v>3040</v>
      </c>
      <c r="V297">
        <v>1</v>
      </c>
      <c r="W297"/>
    </row>
    <row r="298" spans="1:23" x14ac:dyDescent="0.3">
      <c r="A298">
        <v>297</v>
      </c>
      <c r="B298" s="1">
        <v>45588</v>
      </c>
      <c r="C298" t="s">
        <v>155</v>
      </c>
      <c r="D298">
        <v>2024</v>
      </c>
      <c r="E298" t="s">
        <v>5</v>
      </c>
      <c r="F298" t="s">
        <v>7</v>
      </c>
      <c r="G298" t="s">
        <v>6</v>
      </c>
      <c r="H298" t="s">
        <v>62</v>
      </c>
      <c r="I298" t="s">
        <v>63</v>
      </c>
      <c r="J298" t="s">
        <v>64</v>
      </c>
      <c r="K298" s="2">
        <v>2</v>
      </c>
      <c r="L298" t="s">
        <v>143</v>
      </c>
      <c r="M298" s="3">
        <v>150</v>
      </c>
      <c r="N298" t="s">
        <v>47</v>
      </c>
      <c r="O298" t="s">
        <v>10</v>
      </c>
      <c r="P298" t="s">
        <v>115</v>
      </c>
      <c r="Q298" t="s">
        <v>144</v>
      </c>
      <c r="R298" s="3">
        <v>300</v>
      </c>
      <c r="S298" s="4">
        <v>0</v>
      </c>
      <c r="T298" t="s">
        <v>145</v>
      </c>
      <c r="U298">
        <v>300</v>
      </c>
      <c r="V298">
        <v>1</v>
      </c>
      <c r="W298"/>
    </row>
    <row r="299" spans="1:23" x14ac:dyDescent="0.3">
      <c r="A299">
        <v>298</v>
      </c>
      <c r="B299" s="1">
        <v>45589</v>
      </c>
      <c r="C299" t="s">
        <v>155</v>
      </c>
      <c r="D299">
        <v>2024</v>
      </c>
      <c r="E299" t="s">
        <v>9</v>
      </c>
      <c r="F299" t="s">
        <v>7</v>
      </c>
      <c r="G299" t="s">
        <v>10</v>
      </c>
      <c r="H299" t="s">
        <v>66</v>
      </c>
      <c r="I299" t="s">
        <v>59</v>
      </c>
      <c r="J299" t="s">
        <v>67</v>
      </c>
      <c r="K299" s="2">
        <v>5</v>
      </c>
      <c r="L299" t="s">
        <v>143</v>
      </c>
      <c r="M299" s="3">
        <v>20</v>
      </c>
      <c r="N299" t="s">
        <v>49</v>
      </c>
      <c r="O299" t="s">
        <v>10</v>
      </c>
      <c r="P299" t="s">
        <v>117</v>
      </c>
      <c r="Q299" t="s">
        <v>148</v>
      </c>
      <c r="R299" s="3">
        <v>100</v>
      </c>
      <c r="S299" s="4">
        <v>7</v>
      </c>
      <c r="T299" t="s">
        <v>145</v>
      </c>
      <c r="U299">
        <v>93</v>
      </c>
      <c r="V299">
        <v>1</v>
      </c>
      <c r="W299"/>
    </row>
    <row r="300" spans="1:23" x14ac:dyDescent="0.3">
      <c r="A300">
        <v>299</v>
      </c>
      <c r="B300" s="1">
        <v>45590</v>
      </c>
      <c r="C300" t="s">
        <v>155</v>
      </c>
      <c r="D300">
        <v>2024</v>
      </c>
      <c r="E300" t="s">
        <v>12</v>
      </c>
      <c r="F300" t="s">
        <v>7</v>
      </c>
      <c r="G300" t="s">
        <v>13</v>
      </c>
      <c r="H300" t="s">
        <v>69</v>
      </c>
      <c r="I300" t="s">
        <v>59</v>
      </c>
      <c r="J300" t="s">
        <v>67</v>
      </c>
      <c r="K300" s="2">
        <v>1</v>
      </c>
      <c r="L300" t="s">
        <v>143</v>
      </c>
      <c r="M300" s="3">
        <v>50</v>
      </c>
      <c r="N300" t="s">
        <v>51</v>
      </c>
      <c r="O300" t="s">
        <v>13</v>
      </c>
      <c r="P300" t="s">
        <v>113</v>
      </c>
      <c r="Q300" t="s">
        <v>144</v>
      </c>
      <c r="R300" s="3">
        <v>50</v>
      </c>
      <c r="S300" s="4">
        <v>0</v>
      </c>
      <c r="T300" t="s">
        <v>145</v>
      </c>
      <c r="U300">
        <v>50</v>
      </c>
      <c r="V300">
        <v>1</v>
      </c>
      <c r="W300"/>
    </row>
    <row r="301" spans="1:23" x14ac:dyDescent="0.3">
      <c r="A301">
        <v>300</v>
      </c>
      <c r="B301" s="1">
        <v>45591</v>
      </c>
      <c r="C301" t="s">
        <v>155</v>
      </c>
      <c r="D301">
        <v>2024</v>
      </c>
      <c r="E301" t="s">
        <v>15</v>
      </c>
      <c r="F301" t="s">
        <v>7</v>
      </c>
      <c r="G301" t="s">
        <v>16</v>
      </c>
      <c r="H301" t="s">
        <v>71</v>
      </c>
      <c r="I301" t="s">
        <v>63</v>
      </c>
      <c r="J301" t="s">
        <v>64</v>
      </c>
      <c r="K301" s="2">
        <v>3</v>
      </c>
      <c r="L301" t="s">
        <v>143</v>
      </c>
      <c r="M301" s="3">
        <v>300</v>
      </c>
      <c r="N301" t="s">
        <v>45</v>
      </c>
      <c r="O301" t="s">
        <v>6</v>
      </c>
      <c r="P301" t="s">
        <v>113</v>
      </c>
      <c r="Q301" t="s">
        <v>146</v>
      </c>
      <c r="R301" s="3">
        <v>900</v>
      </c>
      <c r="S301" s="4">
        <v>45</v>
      </c>
      <c r="T301" t="s">
        <v>145</v>
      </c>
      <c r="U301">
        <v>855</v>
      </c>
      <c r="V301">
        <v>1</v>
      </c>
      <c r="W301"/>
    </row>
    <row r="302" spans="1:23" x14ac:dyDescent="0.3">
      <c r="A302">
        <v>301</v>
      </c>
      <c r="B302" s="1">
        <v>45592</v>
      </c>
      <c r="C302" t="s">
        <v>155</v>
      </c>
      <c r="D302">
        <v>2024</v>
      </c>
      <c r="E302" t="s">
        <v>5</v>
      </c>
      <c r="F302" t="s">
        <v>7</v>
      </c>
      <c r="G302" t="s">
        <v>6</v>
      </c>
      <c r="H302" t="s">
        <v>58</v>
      </c>
      <c r="I302" t="s">
        <v>59</v>
      </c>
      <c r="J302" t="s">
        <v>60</v>
      </c>
      <c r="K302" s="2">
        <v>2</v>
      </c>
      <c r="L302" t="s">
        <v>143</v>
      </c>
      <c r="M302" s="3">
        <v>800</v>
      </c>
      <c r="N302" t="s">
        <v>51</v>
      </c>
      <c r="O302" t="s">
        <v>6</v>
      </c>
      <c r="P302" t="s">
        <v>113</v>
      </c>
      <c r="Q302" t="s">
        <v>144</v>
      </c>
      <c r="R302" s="3">
        <v>1600</v>
      </c>
      <c r="S302" s="4">
        <v>80</v>
      </c>
      <c r="T302" t="s">
        <v>149</v>
      </c>
      <c r="U302">
        <v>1520</v>
      </c>
      <c r="V302">
        <v>1</v>
      </c>
      <c r="W302"/>
    </row>
    <row r="303" spans="1:23" x14ac:dyDescent="0.3">
      <c r="A303">
        <v>302</v>
      </c>
      <c r="B303" s="1">
        <v>45593</v>
      </c>
      <c r="C303" t="s">
        <v>155</v>
      </c>
      <c r="D303">
        <v>2024</v>
      </c>
      <c r="E303" t="s">
        <v>9</v>
      </c>
      <c r="F303" t="s">
        <v>7</v>
      </c>
      <c r="G303" t="s">
        <v>10</v>
      </c>
      <c r="H303" t="s">
        <v>62</v>
      </c>
      <c r="I303" t="s">
        <v>63</v>
      </c>
      <c r="J303" t="s">
        <v>64</v>
      </c>
      <c r="K303" s="2">
        <v>3</v>
      </c>
      <c r="L303" t="s">
        <v>143</v>
      </c>
      <c r="M303" s="3">
        <v>150</v>
      </c>
      <c r="N303" t="s">
        <v>47</v>
      </c>
      <c r="O303" t="s">
        <v>10</v>
      </c>
      <c r="P303" t="s">
        <v>115</v>
      </c>
      <c r="Q303" t="s">
        <v>146</v>
      </c>
      <c r="R303" s="3">
        <v>450</v>
      </c>
      <c r="S303" s="4">
        <v>31.5</v>
      </c>
      <c r="T303" t="s">
        <v>145</v>
      </c>
      <c r="U303">
        <v>418.5</v>
      </c>
      <c r="V303">
        <v>1</v>
      </c>
      <c r="W303"/>
    </row>
    <row r="304" spans="1:23" x14ac:dyDescent="0.3">
      <c r="A304">
        <v>303</v>
      </c>
      <c r="B304" s="1">
        <v>45594</v>
      </c>
      <c r="C304" t="s">
        <v>155</v>
      </c>
      <c r="D304">
        <v>2024</v>
      </c>
      <c r="E304" t="s">
        <v>12</v>
      </c>
      <c r="F304" t="s">
        <v>7</v>
      </c>
      <c r="G304" t="s">
        <v>13</v>
      </c>
      <c r="H304" t="s">
        <v>66</v>
      </c>
      <c r="I304" t="s">
        <v>59</v>
      </c>
      <c r="J304" t="s">
        <v>67</v>
      </c>
      <c r="K304" s="2">
        <v>1</v>
      </c>
      <c r="L304" t="s">
        <v>143</v>
      </c>
      <c r="M304" s="3">
        <v>20</v>
      </c>
      <c r="N304" t="s">
        <v>49</v>
      </c>
      <c r="O304" t="s">
        <v>13</v>
      </c>
      <c r="P304" t="s">
        <v>117</v>
      </c>
      <c r="Q304" t="s">
        <v>144</v>
      </c>
      <c r="R304" s="3">
        <v>20</v>
      </c>
      <c r="S304" s="4">
        <v>0</v>
      </c>
      <c r="T304" t="s">
        <v>145</v>
      </c>
      <c r="U304">
        <v>20</v>
      </c>
      <c r="V304">
        <v>1</v>
      </c>
      <c r="W304"/>
    </row>
    <row r="305" spans="1:23" x14ac:dyDescent="0.3">
      <c r="A305">
        <v>304</v>
      </c>
      <c r="B305" s="1">
        <v>45595</v>
      </c>
      <c r="C305" t="s">
        <v>155</v>
      </c>
      <c r="D305">
        <v>2024</v>
      </c>
      <c r="E305" t="s">
        <v>15</v>
      </c>
      <c r="F305" t="s">
        <v>7</v>
      </c>
      <c r="G305" t="s">
        <v>16</v>
      </c>
      <c r="H305" t="s">
        <v>69</v>
      </c>
      <c r="I305" t="s">
        <v>59</v>
      </c>
      <c r="J305" t="s">
        <v>67</v>
      </c>
      <c r="K305" s="2">
        <v>4</v>
      </c>
      <c r="L305" t="s">
        <v>143</v>
      </c>
      <c r="M305" s="3">
        <v>50</v>
      </c>
      <c r="N305" t="s">
        <v>51</v>
      </c>
      <c r="O305" t="s">
        <v>6</v>
      </c>
      <c r="P305" t="s">
        <v>113</v>
      </c>
      <c r="Q305" t="s">
        <v>144</v>
      </c>
      <c r="R305" s="3">
        <v>200</v>
      </c>
      <c r="S305" s="4">
        <v>10</v>
      </c>
      <c r="T305" t="s">
        <v>145</v>
      </c>
      <c r="U305">
        <v>190</v>
      </c>
      <c r="V305">
        <v>1</v>
      </c>
      <c r="W305"/>
    </row>
    <row r="306" spans="1:23" x14ac:dyDescent="0.3">
      <c r="A306">
        <v>305</v>
      </c>
      <c r="B306" s="1">
        <v>45596</v>
      </c>
      <c r="C306" t="s">
        <v>155</v>
      </c>
      <c r="D306">
        <v>2024</v>
      </c>
      <c r="E306" t="s">
        <v>5</v>
      </c>
      <c r="F306" t="s">
        <v>7</v>
      </c>
      <c r="G306" t="s">
        <v>6</v>
      </c>
      <c r="H306" t="s">
        <v>71</v>
      </c>
      <c r="I306" t="s">
        <v>63</v>
      </c>
      <c r="J306" t="s">
        <v>64</v>
      </c>
      <c r="K306" s="2">
        <v>2</v>
      </c>
      <c r="L306" t="s">
        <v>143</v>
      </c>
      <c r="M306" s="3">
        <v>300</v>
      </c>
      <c r="N306" t="s">
        <v>45</v>
      </c>
      <c r="O306" t="s">
        <v>16</v>
      </c>
      <c r="P306" t="s">
        <v>113</v>
      </c>
      <c r="Q306" t="s">
        <v>146</v>
      </c>
      <c r="R306" s="3">
        <v>600</v>
      </c>
      <c r="S306" s="4">
        <v>0</v>
      </c>
      <c r="T306" t="s">
        <v>145</v>
      </c>
      <c r="U306">
        <v>600</v>
      </c>
      <c r="V306">
        <v>1</v>
      </c>
      <c r="W306"/>
    </row>
    <row r="307" spans="1:23" x14ac:dyDescent="0.3">
      <c r="A307">
        <v>306</v>
      </c>
      <c r="B307" s="1">
        <v>45302</v>
      </c>
      <c r="C307" t="s">
        <v>153</v>
      </c>
      <c r="D307">
        <v>2024</v>
      </c>
      <c r="E307" t="s">
        <v>9</v>
      </c>
      <c r="F307" t="s">
        <v>7</v>
      </c>
      <c r="G307" t="s">
        <v>10</v>
      </c>
      <c r="H307" t="s">
        <v>58</v>
      </c>
      <c r="I307" t="s">
        <v>59</v>
      </c>
      <c r="J307" t="s">
        <v>60</v>
      </c>
      <c r="K307" s="2">
        <v>3</v>
      </c>
      <c r="L307" t="s">
        <v>143</v>
      </c>
      <c r="M307" s="3">
        <v>800</v>
      </c>
      <c r="N307" t="s">
        <v>51</v>
      </c>
      <c r="O307" t="s">
        <v>6</v>
      </c>
      <c r="P307" t="s">
        <v>113</v>
      </c>
      <c r="Q307" t="s">
        <v>144</v>
      </c>
      <c r="R307" s="3">
        <v>2400</v>
      </c>
      <c r="S307" s="4">
        <v>120</v>
      </c>
      <c r="T307" t="s">
        <v>150</v>
      </c>
      <c r="U307">
        <v>2280</v>
      </c>
      <c r="V307">
        <v>1</v>
      </c>
      <c r="W307"/>
    </row>
    <row r="308" spans="1:23" x14ac:dyDescent="0.3">
      <c r="A308">
        <v>307</v>
      </c>
      <c r="B308" s="1">
        <v>45333</v>
      </c>
      <c r="C308" t="s">
        <v>157</v>
      </c>
      <c r="D308">
        <v>2024</v>
      </c>
      <c r="E308" t="s">
        <v>12</v>
      </c>
      <c r="F308" t="s">
        <v>7</v>
      </c>
      <c r="G308" t="s">
        <v>13</v>
      </c>
      <c r="H308" t="s">
        <v>73</v>
      </c>
      <c r="I308" t="s">
        <v>59</v>
      </c>
      <c r="J308" t="s">
        <v>74</v>
      </c>
      <c r="K308" s="2">
        <v>2</v>
      </c>
      <c r="L308" t="s">
        <v>143</v>
      </c>
      <c r="M308" s="3">
        <v>200</v>
      </c>
      <c r="N308" t="s">
        <v>47</v>
      </c>
      <c r="O308" t="s">
        <v>10</v>
      </c>
      <c r="P308" t="s">
        <v>115</v>
      </c>
      <c r="Q308" t="s">
        <v>148</v>
      </c>
      <c r="R308" s="3">
        <v>400</v>
      </c>
      <c r="S308" s="4">
        <v>0</v>
      </c>
      <c r="T308" t="s">
        <v>145</v>
      </c>
      <c r="U308">
        <v>400</v>
      </c>
      <c r="V308">
        <v>1</v>
      </c>
      <c r="W308"/>
    </row>
    <row r="309" spans="1:23" x14ac:dyDescent="0.3">
      <c r="A309">
        <v>308</v>
      </c>
      <c r="B309" s="1">
        <v>45362</v>
      </c>
      <c r="C309" t="s">
        <v>158</v>
      </c>
      <c r="D309">
        <v>2024</v>
      </c>
      <c r="E309" t="s">
        <v>15</v>
      </c>
      <c r="F309" t="s">
        <v>7</v>
      </c>
      <c r="G309" t="s">
        <v>16</v>
      </c>
      <c r="H309" t="s">
        <v>62</v>
      </c>
      <c r="I309" t="s">
        <v>63</v>
      </c>
      <c r="J309" t="s">
        <v>64</v>
      </c>
      <c r="K309" s="2">
        <v>1</v>
      </c>
      <c r="L309" t="s">
        <v>143</v>
      </c>
      <c r="M309" s="3">
        <v>150</v>
      </c>
      <c r="N309" t="s">
        <v>49</v>
      </c>
      <c r="O309" t="s">
        <v>6</v>
      </c>
      <c r="P309" t="s">
        <v>117</v>
      </c>
      <c r="Q309" t="s">
        <v>144</v>
      </c>
      <c r="R309" s="3">
        <v>150</v>
      </c>
      <c r="S309" s="4">
        <v>0</v>
      </c>
      <c r="T309" t="s">
        <v>145</v>
      </c>
      <c r="U309">
        <v>150</v>
      </c>
      <c r="V309">
        <v>1</v>
      </c>
      <c r="W309"/>
    </row>
    <row r="310" spans="1:23" x14ac:dyDescent="0.3">
      <c r="A310">
        <v>309</v>
      </c>
      <c r="B310" s="1">
        <v>45393</v>
      </c>
      <c r="C310" t="s">
        <v>156</v>
      </c>
      <c r="D310">
        <v>2024</v>
      </c>
      <c r="E310" t="s">
        <v>5</v>
      </c>
      <c r="F310" t="s">
        <v>7</v>
      </c>
      <c r="G310" t="s">
        <v>6</v>
      </c>
      <c r="H310" t="s">
        <v>66</v>
      </c>
      <c r="I310" t="s">
        <v>59</v>
      </c>
      <c r="J310" t="s">
        <v>67</v>
      </c>
      <c r="K310" s="2">
        <v>5</v>
      </c>
      <c r="L310" t="s">
        <v>143</v>
      </c>
      <c r="M310" s="3">
        <v>20</v>
      </c>
      <c r="N310" t="s">
        <v>51</v>
      </c>
      <c r="O310" t="s">
        <v>13</v>
      </c>
      <c r="P310" t="s">
        <v>113</v>
      </c>
      <c r="Q310" t="s">
        <v>146</v>
      </c>
      <c r="R310" s="3">
        <v>100</v>
      </c>
      <c r="S310" s="4">
        <v>4</v>
      </c>
      <c r="T310" t="s">
        <v>145</v>
      </c>
      <c r="U310">
        <v>96</v>
      </c>
      <c r="V310">
        <v>1</v>
      </c>
      <c r="W310"/>
    </row>
    <row r="311" spans="1:23" x14ac:dyDescent="0.3">
      <c r="A311">
        <v>310</v>
      </c>
      <c r="B311" s="1">
        <v>45423</v>
      </c>
      <c r="C311" t="s">
        <v>159</v>
      </c>
      <c r="D311">
        <v>2024</v>
      </c>
      <c r="E311" t="s">
        <v>9</v>
      </c>
      <c r="F311" t="s">
        <v>7</v>
      </c>
      <c r="G311" t="s">
        <v>10</v>
      </c>
      <c r="H311" t="s">
        <v>69</v>
      </c>
      <c r="I311" t="s">
        <v>59</v>
      </c>
      <c r="J311" t="s">
        <v>67</v>
      </c>
      <c r="K311" s="2">
        <v>2</v>
      </c>
      <c r="L311" t="s">
        <v>143</v>
      </c>
      <c r="M311" s="3">
        <v>50</v>
      </c>
      <c r="N311" t="s">
        <v>45</v>
      </c>
      <c r="O311" t="s">
        <v>16</v>
      </c>
      <c r="P311" t="s">
        <v>113</v>
      </c>
      <c r="Q311" t="s">
        <v>144</v>
      </c>
      <c r="R311" s="3">
        <v>100</v>
      </c>
      <c r="S311" s="4">
        <v>0</v>
      </c>
      <c r="T311" t="s">
        <v>145</v>
      </c>
      <c r="U311">
        <v>100</v>
      </c>
      <c r="V311">
        <v>1</v>
      </c>
      <c r="W311"/>
    </row>
    <row r="312" spans="1:23" x14ac:dyDescent="0.3">
      <c r="A312">
        <v>311</v>
      </c>
      <c r="B312" s="1">
        <v>45454</v>
      </c>
      <c r="C312" t="s">
        <v>164</v>
      </c>
      <c r="D312">
        <v>2024</v>
      </c>
      <c r="E312" t="s">
        <v>12</v>
      </c>
      <c r="F312" t="s">
        <v>7</v>
      </c>
      <c r="G312" t="s">
        <v>13</v>
      </c>
      <c r="H312" t="s">
        <v>71</v>
      </c>
      <c r="I312" t="s">
        <v>63</v>
      </c>
      <c r="J312" t="s">
        <v>64</v>
      </c>
      <c r="K312" s="2">
        <v>3</v>
      </c>
      <c r="L312" t="s">
        <v>143</v>
      </c>
      <c r="M312" s="3">
        <v>300</v>
      </c>
      <c r="N312" t="s">
        <v>51</v>
      </c>
      <c r="O312" t="s">
        <v>6</v>
      </c>
      <c r="P312" t="s">
        <v>113</v>
      </c>
      <c r="Q312" t="s">
        <v>146</v>
      </c>
      <c r="R312" s="3">
        <v>900</v>
      </c>
      <c r="S312" s="4">
        <v>45</v>
      </c>
      <c r="T312" t="s">
        <v>145</v>
      </c>
      <c r="U312">
        <v>855</v>
      </c>
      <c r="V312">
        <v>1</v>
      </c>
      <c r="W312"/>
    </row>
    <row r="313" spans="1:23" x14ac:dyDescent="0.3">
      <c r="A313">
        <v>312</v>
      </c>
      <c r="B313" s="1">
        <v>45484</v>
      </c>
      <c r="C313" t="s">
        <v>160</v>
      </c>
      <c r="D313">
        <v>2024</v>
      </c>
      <c r="E313" t="s">
        <v>15</v>
      </c>
      <c r="F313" t="s">
        <v>7</v>
      </c>
      <c r="G313" t="s">
        <v>16</v>
      </c>
      <c r="H313" t="s">
        <v>58</v>
      </c>
      <c r="I313" t="s">
        <v>59</v>
      </c>
      <c r="J313" t="s">
        <v>60</v>
      </c>
      <c r="K313" s="2">
        <v>1</v>
      </c>
      <c r="L313" t="s">
        <v>143</v>
      </c>
      <c r="M313" s="3">
        <v>800</v>
      </c>
      <c r="N313" t="s">
        <v>47</v>
      </c>
      <c r="O313" t="s">
        <v>10</v>
      </c>
      <c r="P313" t="s">
        <v>115</v>
      </c>
      <c r="Q313" t="s">
        <v>144</v>
      </c>
      <c r="R313" s="3">
        <v>800</v>
      </c>
      <c r="S313" s="4">
        <v>0</v>
      </c>
      <c r="T313" t="s">
        <v>145</v>
      </c>
      <c r="U313">
        <v>800</v>
      </c>
      <c r="V313">
        <v>1</v>
      </c>
      <c r="W313"/>
    </row>
    <row r="314" spans="1:23" x14ac:dyDescent="0.3">
      <c r="A314">
        <v>313</v>
      </c>
      <c r="B314" s="1">
        <v>45515</v>
      </c>
      <c r="C314" t="s">
        <v>154</v>
      </c>
      <c r="D314">
        <v>2024</v>
      </c>
      <c r="E314" t="s">
        <v>5</v>
      </c>
      <c r="F314" t="s">
        <v>7</v>
      </c>
      <c r="G314" t="s">
        <v>6</v>
      </c>
      <c r="H314" t="s">
        <v>62</v>
      </c>
      <c r="I314" t="s">
        <v>63</v>
      </c>
      <c r="J314" t="s">
        <v>64</v>
      </c>
      <c r="K314" s="2">
        <v>2</v>
      </c>
      <c r="L314" t="s">
        <v>143</v>
      </c>
      <c r="M314" s="3">
        <v>150</v>
      </c>
      <c r="N314" t="s">
        <v>49</v>
      </c>
      <c r="O314" t="s">
        <v>6</v>
      </c>
      <c r="P314" t="s">
        <v>117</v>
      </c>
      <c r="Q314" t="s">
        <v>144</v>
      </c>
      <c r="R314" s="3">
        <v>300</v>
      </c>
      <c r="S314" s="4">
        <v>15</v>
      </c>
      <c r="T314" t="s">
        <v>145</v>
      </c>
      <c r="U314">
        <v>285</v>
      </c>
      <c r="V314">
        <v>1</v>
      </c>
      <c r="W314"/>
    </row>
    <row r="315" spans="1:23" x14ac:dyDescent="0.3">
      <c r="A315">
        <v>314</v>
      </c>
      <c r="B315" s="1">
        <v>45546</v>
      </c>
      <c r="C315" t="s">
        <v>161</v>
      </c>
      <c r="D315">
        <v>2024</v>
      </c>
      <c r="E315" t="s">
        <v>9</v>
      </c>
      <c r="F315" t="s">
        <v>7</v>
      </c>
      <c r="G315" t="s">
        <v>10</v>
      </c>
      <c r="H315" t="s">
        <v>66</v>
      </c>
      <c r="I315" t="s">
        <v>59</v>
      </c>
      <c r="J315" t="s">
        <v>67</v>
      </c>
      <c r="K315" s="2">
        <v>4</v>
      </c>
      <c r="L315" t="s">
        <v>143</v>
      </c>
      <c r="M315" s="3">
        <v>20</v>
      </c>
      <c r="N315" t="s">
        <v>51</v>
      </c>
      <c r="O315" t="s">
        <v>6</v>
      </c>
      <c r="P315" t="s">
        <v>113</v>
      </c>
      <c r="Q315" t="s">
        <v>146</v>
      </c>
      <c r="R315" s="3">
        <v>80</v>
      </c>
      <c r="S315" s="4">
        <v>4</v>
      </c>
      <c r="T315" t="s">
        <v>145</v>
      </c>
      <c r="U315">
        <v>76</v>
      </c>
      <c r="V315">
        <v>1</v>
      </c>
      <c r="W315"/>
    </row>
    <row r="316" spans="1:23" x14ac:dyDescent="0.3">
      <c r="A316">
        <v>315</v>
      </c>
      <c r="B316" s="1">
        <v>45576</v>
      </c>
      <c r="C316" t="s">
        <v>155</v>
      </c>
      <c r="D316">
        <v>2024</v>
      </c>
      <c r="E316" t="s">
        <v>12</v>
      </c>
      <c r="F316" t="s">
        <v>7</v>
      </c>
      <c r="G316" t="s">
        <v>13</v>
      </c>
      <c r="H316" t="s">
        <v>69</v>
      </c>
      <c r="I316" t="s">
        <v>59</v>
      </c>
      <c r="J316" t="s">
        <v>67</v>
      </c>
      <c r="K316" s="2">
        <v>1</v>
      </c>
      <c r="L316" t="s">
        <v>143</v>
      </c>
      <c r="M316" s="3">
        <v>50</v>
      </c>
      <c r="N316" t="s">
        <v>45</v>
      </c>
      <c r="O316" t="s">
        <v>13</v>
      </c>
      <c r="P316" t="s">
        <v>113</v>
      </c>
      <c r="Q316" t="s">
        <v>144</v>
      </c>
      <c r="R316" s="3">
        <v>50</v>
      </c>
      <c r="S316" s="4">
        <v>0</v>
      </c>
      <c r="T316" t="s">
        <v>145</v>
      </c>
      <c r="U316">
        <v>50</v>
      </c>
      <c r="V316">
        <v>1</v>
      </c>
      <c r="W316"/>
    </row>
    <row r="317" spans="1:23" x14ac:dyDescent="0.3">
      <c r="A317">
        <v>316</v>
      </c>
      <c r="B317" s="1">
        <v>45607</v>
      </c>
      <c r="C317" t="s">
        <v>162</v>
      </c>
      <c r="D317">
        <v>2024</v>
      </c>
      <c r="E317" t="s">
        <v>15</v>
      </c>
      <c r="F317" t="s">
        <v>7</v>
      </c>
      <c r="G317" t="s">
        <v>16</v>
      </c>
      <c r="H317" t="s">
        <v>71</v>
      </c>
      <c r="I317" t="s">
        <v>63</v>
      </c>
      <c r="J317" t="s">
        <v>64</v>
      </c>
      <c r="K317" s="2">
        <v>5</v>
      </c>
      <c r="L317" t="s">
        <v>143</v>
      </c>
      <c r="M317" s="3">
        <v>300</v>
      </c>
      <c r="N317" t="s">
        <v>51</v>
      </c>
      <c r="O317" t="s">
        <v>16</v>
      </c>
      <c r="P317" t="s">
        <v>113</v>
      </c>
      <c r="Q317" t="s">
        <v>144</v>
      </c>
      <c r="R317" s="3">
        <v>1500</v>
      </c>
      <c r="S317" s="4">
        <v>90</v>
      </c>
      <c r="T317" t="s">
        <v>149</v>
      </c>
      <c r="U317">
        <v>1410</v>
      </c>
      <c r="V317">
        <v>1</v>
      </c>
      <c r="W317"/>
    </row>
    <row r="318" spans="1:23" x14ac:dyDescent="0.3">
      <c r="A318">
        <v>317</v>
      </c>
      <c r="B318" s="1">
        <v>45637</v>
      </c>
      <c r="C318" t="s">
        <v>163</v>
      </c>
      <c r="D318">
        <v>2024</v>
      </c>
      <c r="E318" t="s">
        <v>5</v>
      </c>
      <c r="F318" t="s">
        <v>7</v>
      </c>
      <c r="G318" t="s">
        <v>6</v>
      </c>
      <c r="H318" t="s">
        <v>58</v>
      </c>
      <c r="I318" t="s">
        <v>59</v>
      </c>
      <c r="J318" t="s">
        <v>60</v>
      </c>
      <c r="K318" s="2">
        <v>2</v>
      </c>
      <c r="L318" t="s">
        <v>143</v>
      </c>
      <c r="M318" s="3">
        <v>800</v>
      </c>
      <c r="N318" t="s">
        <v>47</v>
      </c>
      <c r="O318" t="s">
        <v>6</v>
      </c>
      <c r="P318" t="s">
        <v>115</v>
      </c>
      <c r="Q318" t="s">
        <v>146</v>
      </c>
      <c r="R318" s="3">
        <v>1600</v>
      </c>
      <c r="S318" s="4">
        <v>80</v>
      </c>
      <c r="T318" t="s">
        <v>149</v>
      </c>
      <c r="U318">
        <v>1520</v>
      </c>
      <c r="V318">
        <v>1</v>
      </c>
      <c r="W318"/>
    </row>
    <row r="319" spans="1:23" x14ac:dyDescent="0.3">
      <c r="A319">
        <v>318</v>
      </c>
      <c r="B319" s="1">
        <v>45609</v>
      </c>
      <c r="C319" t="s">
        <v>162</v>
      </c>
      <c r="D319">
        <v>2024</v>
      </c>
      <c r="E319" t="s">
        <v>9</v>
      </c>
      <c r="F319" t="s">
        <v>7</v>
      </c>
      <c r="G319" t="s">
        <v>10</v>
      </c>
      <c r="H319" t="s">
        <v>62</v>
      </c>
      <c r="I319" t="s">
        <v>63</v>
      </c>
      <c r="J319" t="s">
        <v>64</v>
      </c>
      <c r="K319" s="2">
        <v>3</v>
      </c>
      <c r="L319" t="s">
        <v>143</v>
      </c>
      <c r="M319" s="3">
        <v>150</v>
      </c>
      <c r="N319" t="s">
        <v>49</v>
      </c>
      <c r="O319" t="s">
        <v>10</v>
      </c>
      <c r="P319" t="s">
        <v>117</v>
      </c>
      <c r="Q319" t="s">
        <v>144</v>
      </c>
      <c r="R319" s="3">
        <v>450</v>
      </c>
      <c r="S319" s="4">
        <v>31.5</v>
      </c>
      <c r="T319" t="s">
        <v>145</v>
      </c>
      <c r="U319">
        <v>418.5</v>
      </c>
      <c r="V319">
        <v>1</v>
      </c>
      <c r="W319"/>
    </row>
    <row r="320" spans="1:23" x14ac:dyDescent="0.3">
      <c r="A320">
        <v>319</v>
      </c>
      <c r="B320" s="1">
        <v>45610</v>
      </c>
      <c r="C320" t="s">
        <v>162</v>
      </c>
      <c r="D320">
        <v>2024</v>
      </c>
      <c r="E320" t="s">
        <v>12</v>
      </c>
      <c r="F320" t="s">
        <v>7</v>
      </c>
      <c r="G320" t="s">
        <v>13</v>
      </c>
      <c r="H320" t="s">
        <v>66</v>
      </c>
      <c r="I320" t="s">
        <v>59</v>
      </c>
      <c r="J320" t="s">
        <v>67</v>
      </c>
      <c r="K320" s="2"/>
      <c r="L320" t="s">
        <v>147</v>
      </c>
      <c r="M320" s="3">
        <v>20</v>
      </c>
      <c r="N320" t="s">
        <v>51</v>
      </c>
      <c r="O320" t="s">
        <v>6</v>
      </c>
      <c r="P320" t="s">
        <v>113</v>
      </c>
      <c r="Q320" t="s">
        <v>144</v>
      </c>
      <c r="R320" s="3"/>
      <c r="S320" s="4"/>
      <c r="V320">
        <v>1</v>
      </c>
      <c r="W320"/>
    </row>
    <row r="321" spans="1:23" x14ac:dyDescent="0.3">
      <c r="A321">
        <v>320</v>
      </c>
      <c r="B321" s="1">
        <v>45611</v>
      </c>
      <c r="C321" t="s">
        <v>162</v>
      </c>
      <c r="D321">
        <v>2024</v>
      </c>
      <c r="E321" t="s">
        <v>15</v>
      </c>
      <c r="F321" t="s">
        <v>7</v>
      </c>
      <c r="G321" t="s">
        <v>16</v>
      </c>
      <c r="H321" t="s">
        <v>69</v>
      </c>
      <c r="I321" t="s">
        <v>59</v>
      </c>
      <c r="J321" t="s">
        <v>67</v>
      </c>
      <c r="K321" s="2">
        <v>2</v>
      </c>
      <c r="L321" t="s">
        <v>143</v>
      </c>
      <c r="M321" s="3">
        <v>50</v>
      </c>
      <c r="N321" t="s">
        <v>45</v>
      </c>
      <c r="O321" t="s">
        <v>6</v>
      </c>
      <c r="P321" t="s">
        <v>113</v>
      </c>
      <c r="Q321" t="s">
        <v>146</v>
      </c>
      <c r="R321" s="3">
        <v>100</v>
      </c>
      <c r="S321" s="4">
        <v>5</v>
      </c>
      <c r="T321" t="s">
        <v>145</v>
      </c>
      <c r="U321">
        <v>95</v>
      </c>
      <c r="V321">
        <v>1</v>
      </c>
      <c r="W321"/>
    </row>
    <row r="322" spans="1:23" x14ac:dyDescent="0.3">
      <c r="A322">
        <v>321</v>
      </c>
      <c r="B322" s="1">
        <v>45612</v>
      </c>
      <c r="C322" t="s">
        <v>162</v>
      </c>
      <c r="D322">
        <v>2024</v>
      </c>
      <c r="E322" t="s">
        <v>5</v>
      </c>
      <c r="F322" t="s">
        <v>7</v>
      </c>
      <c r="G322" t="s">
        <v>6</v>
      </c>
      <c r="H322" t="s">
        <v>71</v>
      </c>
      <c r="I322" t="s">
        <v>63</v>
      </c>
      <c r="J322" t="s">
        <v>64</v>
      </c>
      <c r="K322" s="2">
        <v>3</v>
      </c>
      <c r="L322" t="s">
        <v>143</v>
      </c>
      <c r="M322" s="3">
        <v>300</v>
      </c>
      <c r="N322" t="s">
        <v>51</v>
      </c>
      <c r="O322" t="s">
        <v>13</v>
      </c>
      <c r="P322" t="s">
        <v>113</v>
      </c>
      <c r="Q322" t="s">
        <v>144</v>
      </c>
      <c r="R322" s="3">
        <v>900</v>
      </c>
      <c r="S322" s="4">
        <v>36</v>
      </c>
      <c r="T322" t="s">
        <v>145</v>
      </c>
      <c r="U322">
        <v>864</v>
      </c>
      <c r="V322">
        <v>1</v>
      </c>
      <c r="W322"/>
    </row>
    <row r="323" spans="1:23" x14ac:dyDescent="0.3">
      <c r="A323">
        <v>322</v>
      </c>
      <c r="B323" s="1">
        <v>45613</v>
      </c>
      <c r="C323" t="s">
        <v>162</v>
      </c>
      <c r="D323">
        <v>2024</v>
      </c>
      <c r="E323" t="s">
        <v>9</v>
      </c>
      <c r="F323" t="s">
        <v>7</v>
      </c>
      <c r="G323" t="s">
        <v>10</v>
      </c>
      <c r="H323" t="s">
        <v>58</v>
      </c>
      <c r="I323" t="s">
        <v>59</v>
      </c>
      <c r="J323" t="s">
        <v>60</v>
      </c>
      <c r="K323" s="2">
        <v>1</v>
      </c>
      <c r="L323" t="s">
        <v>143</v>
      </c>
      <c r="M323" s="3">
        <v>800</v>
      </c>
      <c r="N323" t="s">
        <v>47</v>
      </c>
      <c r="O323" t="s">
        <v>16</v>
      </c>
      <c r="P323" t="s">
        <v>115</v>
      </c>
      <c r="Q323" t="s">
        <v>144</v>
      </c>
      <c r="R323" s="3">
        <v>800</v>
      </c>
      <c r="S323" s="4">
        <v>0</v>
      </c>
      <c r="T323" t="s">
        <v>145</v>
      </c>
      <c r="U323">
        <v>800</v>
      </c>
      <c r="V323">
        <v>1</v>
      </c>
      <c r="W323"/>
    </row>
    <row r="324" spans="1:23" x14ac:dyDescent="0.3">
      <c r="A324">
        <v>323</v>
      </c>
      <c r="B324" s="1">
        <v>45614</v>
      </c>
      <c r="C324" t="s">
        <v>162</v>
      </c>
      <c r="D324">
        <v>2024</v>
      </c>
      <c r="E324" t="s">
        <v>12</v>
      </c>
      <c r="F324" t="s">
        <v>7</v>
      </c>
      <c r="G324" t="s">
        <v>13</v>
      </c>
      <c r="H324" t="s">
        <v>62</v>
      </c>
      <c r="I324" t="s">
        <v>63</v>
      </c>
      <c r="J324" t="s">
        <v>64</v>
      </c>
      <c r="K324" s="2">
        <v>4</v>
      </c>
      <c r="L324" t="s">
        <v>143</v>
      </c>
      <c r="M324" s="3">
        <v>150</v>
      </c>
      <c r="N324" t="s">
        <v>49</v>
      </c>
      <c r="O324" t="s">
        <v>6</v>
      </c>
      <c r="P324" t="s">
        <v>117</v>
      </c>
      <c r="Q324" t="s">
        <v>146</v>
      </c>
      <c r="R324" s="3">
        <v>600</v>
      </c>
      <c r="S324" s="4">
        <v>30</v>
      </c>
      <c r="T324" t="s">
        <v>145</v>
      </c>
      <c r="U324">
        <v>570</v>
      </c>
      <c r="V324">
        <v>1</v>
      </c>
      <c r="W324"/>
    </row>
    <row r="325" spans="1:23" x14ac:dyDescent="0.3">
      <c r="A325">
        <v>324</v>
      </c>
      <c r="B325" s="1">
        <v>45615</v>
      </c>
      <c r="C325" t="s">
        <v>162</v>
      </c>
      <c r="D325">
        <v>2024</v>
      </c>
      <c r="E325" t="s">
        <v>15</v>
      </c>
      <c r="F325" t="s">
        <v>7</v>
      </c>
      <c r="G325" t="s">
        <v>16</v>
      </c>
      <c r="H325" t="s">
        <v>66</v>
      </c>
      <c r="I325" t="s">
        <v>59</v>
      </c>
      <c r="J325" t="s">
        <v>67</v>
      </c>
      <c r="K325" s="2">
        <v>2</v>
      </c>
      <c r="L325" t="s">
        <v>143</v>
      </c>
      <c r="M325" s="3">
        <v>20</v>
      </c>
      <c r="N325" t="s">
        <v>51</v>
      </c>
      <c r="O325" t="s">
        <v>6</v>
      </c>
      <c r="P325" t="s">
        <v>113</v>
      </c>
      <c r="Q325" t="s">
        <v>144</v>
      </c>
      <c r="R325" s="3">
        <v>40</v>
      </c>
      <c r="S325" s="4">
        <v>2</v>
      </c>
      <c r="T325" t="s">
        <v>145</v>
      </c>
      <c r="U325">
        <v>38</v>
      </c>
      <c r="V325">
        <v>1</v>
      </c>
      <c r="W325"/>
    </row>
    <row r="326" spans="1:23" x14ac:dyDescent="0.3">
      <c r="A326">
        <v>325</v>
      </c>
      <c r="B326" s="1">
        <v>45616</v>
      </c>
      <c r="C326" t="s">
        <v>162</v>
      </c>
      <c r="D326">
        <v>2024</v>
      </c>
      <c r="E326" t="s">
        <v>5</v>
      </c>
      <c r="F326" t="s">
        <v>7</v>
      </c>
      <c r="G326" t="s">
        <v>6</v>
      </c>
      <c r="H326" t="s">
        <v>69</v>
      </c>
      <c r="I326" t="s">
        <v>59</v>
      </c>
      <c r="J326" t="s">
        <v>67</v>
      </c>
      <c r="K326" s="2">
        <v>5</v>
      </c>
      <c r="L326" t="s">
        <v>143</v>
      </c>
      <c r="M326" s="3">
        <v>50</v>
      </c>
      <c r="N326" t="s">
        <v>45</v>
      </c>
      <c r="O326" t="s">
        <v>10</v>
      </c>
      <c r="P326" t="s">
        <v>113</v>
      </c>
      <c r="Q326" t="s">
        <v>144</v>
      </c>
      <c r="R326" s="3">
        <v>250</v>
      </c>
      <c r="S326" s="4">
        <v>17.5</v>
      </c>
      <c r="T326" t="s">
        <v>145</v>
      </c>
      <c r="U326">
        <v>232.5</v>
      </c>
      <c r="V326">
        <v>1</v>
      </c>
      <c r="W326"/>
    </row>
    <row r="327" spans="1:23" x14ac:dyDescent="0.3">
      <c r="A327">
        <v>326</v>
      </c>
      <c r="B327" s="1">
        <v>45617</v>
      </c>
      <c r="C327" t="s">
        <v>162</v>
      </c>
      <c r="D327">
        <v>2024</v>
      </c>
      <c r="E327" t="s">
        <v>9</v>
      </c>
      <c r="F327" t="s">
        <v>7</v>
      </c>
      <c r="G327" t="s">
        <v>10</v>
      </c>
      <c r="H327" t="s">
        <v>71</v>
      </c>
      <c r="I327" t="s">
        <v>63</v>
      </c>
      <c r="J327" t="s">
        <v>64</v>
      </c>
      <c r="K327" s="2"/>
      <c r="L327" t="s">
        <v>147</v>
      </c>
      <c r="M327" s="3">
        <v>300</v>
      </c>
      <c r="N327" t="s">
        <v>51</v>
      </c>
      <c r="O327" t="s">
        <v>13</v>
      </c>
      <c r="P327" t="s">
        <v>113</v>
      </c>
      <c r="Q327" t="s">
        <v>146</v>
      </c>
      <c r="R327" s="3"/>
      <c r="S327" s="4"/>
      <c r="V327">
        <v>1</v>
      </c>
      <c r="W327"/>
    </row>
    <row r="328" spans="1:23" x14ac:dyDescent="0.3">
      <c r="A328">
        <v>327</v>
      </c>
      <c r="B328" s="1">
        <v>45618</v>
      </c>
      <c r="C328" t="s">
        <v>162</v>
      </c>
      <c r="D328">
        <v>2024</v>
      </c>
      <c r="E328" t="s">
        <v>12</v>
      </c>
      <c r="F328" t="s">
        <v>7</v>
      </c>
      <c r="G328" t="s">
        <v>13</v>
      </c>
      <c r="H328" t="s">
        <v>58</v>
      </c>
      <c r="I328" t="s">
        <v>59</v>
      </c>
      <c r="J328" t="s">
        <v>60</v>
      </c>
      <c r="K328" s="2">
        <v>2</v>
      </c>
      <c r="L328" t="s">
        <v>143</v>
      </c>
      <c r="M328" s="3">
        <v>800</v>
      </c>
      <c r="N328" t="s">
        <v>47</v>
      </c>
      <c r="O328" t="s">
        <v>16</v>
      </c>
      <c r="P328" t="s">
        <v>115</v>
      </c>
      <c r="Q328" t="s">
        <v>144</v>
      </c>
      <c r="R328" s="3">
        <v>1600</v>
      </c>
      <c r="S328" s="4">
        <v>0</v>
      </c>
      <c r="T328" t="s">
        <v>149</v>
      </c>
      <c r="U328">
        <v>1600</v>
      </c>
      <c r="V328">
        <v>1</v>
      </c>
      <c r="W328"/>
    </row>
    <row r="329" spans="1:23" x14ac:dyDescent="0.3">
      <c r="A329">
        <v>328</v>
      </c>
      <c r="B329" s="1">
        <v>45619</v>
      </c>
      <c r="C329" t="s">
        <v>162</v>
      </c>
      <c r="D329">
        <v>2024</v>
      </c>
      <c r="E329" t="s">
        <v>15</v>
      </c>
      <c r="F329" t="s">
        <v>7</v>
      </c>
      <c r="G329" t="s">
        <v>16</v>
      </c>
      <c r="H329" t="s">
        <v>62</v>
      </c>
      <c r="I329" t="s">
        <v>63</v>
      </c>
      <c r="J329" t="s">
        <v>64</v>
      </c>
      <c r="K329" s="2">
        <v>1</v>
      </c>
      <c r="L329" t="s">
        <v>143</v>
      </c>
      <c r="M329" s="3">
        <v>150</v>
      </c>
      <c r="N329" t="s">
        <v>49</v>
      </c>
      <c r="O329" t="s">
        <v>6</v>
      </c>
      <c r="P329" t="s">
        <v>117</v>
      </c>
      <c r="Q329" t="s">
        <v>144</v>
      </c>
      <c r="R329" s="3">
        <v>150</v>
      </c>
      <c r="S329" s="4">
        <v>0</v>
      </c>
      <c r="T329" t="s">
        <v>145</v>
      </c>
      <c r="U329">
        <v>150</v>
      </c>
      <c r="V329">
        <v>1</v>
      </c>
      <c r="W329"/>
    </row>
    <row r="330" spans="1:23" x14ac:dyDescent="0.3">
      <c r="A330">
        <v>329</v>
      </c>
      <c r="B330" s="1">
        <v>45620</v>
      </c>
      <c r="C330" t="s">
        <v>162</v>
      </c>
      <c r="D330">
        <v>2024</v>
      </c>
      <c r="E330" t="s">
        <v>5</v>
      </c>
      <c r="F330" t="s">
        <v>7</v>
      </c>
      <c r="G330" t="s">
        <v>6</v>
      </c>
      <c r="H330" t="s">
        <v>66</v>
      </c>
      <c r="I330" t="s">
        <v>59</v>
      </c>
      <c r="J330" t="s">
        <v>67</v>
      </c>
      <c r="K330" s="2">
        <v>3</v>
      </c>
      <c r="L330" t="s">
        <v>143</v>
      </c>
      <c r="M330" s="3">
        <v>20</v>
      </c>
      <c r="N330" t="s">
        <v>51</v>
      </c>
      <c r="O330" t="s">
        <v>6</v>
      </c>
      <c r="P330" t="s">
        <v>113</v>
      </c>
      <c r="Q330" t="s">
        <v>146</v>
      </c>
      <c r="R330" s="3">
        <v>60</v>
      </c>
      <c r="S330" s="4">
        <v>3</v>
      </c>
      <c r="T330" t="s">
        <v>145</v>
      </c>
      <c r="U330">
        <v>57</v>
      </c>
      <c r="V330">
        <v>1</v>
      </c>
      <c r="W330"/>
    </row>
    <row r="331" spans="1:23" x14ac:dyDescent="0.3">
      <c r="A331">
        <v>330</v>
      </c>
      <c r="B331" s="1">
        <v>45621</v>
      </c>
      <c r="C331" t="s">
        <v>162</v>
      </c>
      <c r="D331">
        <v>2024</v>
      </c>
      <c r="E331" t="s">
        <v>9</v>
      </c>
      <c r="F331" t="s">
        <v>7</v>
      </c>
      <c r="G331" t="s">
        <v>10</v>
      </c>
      <c r="H331" t="s">
        <v>69</v>
      </c>
      <c r="I331" t="s">
        <v>59</v>
      </c>
      <c r="J331" t="s">
        <v>67</v>
      </c>
      <c r="K331" s="2">
        <v>2</v>
      </c>
      <c r="L331" t="s">
        <v>143</v>
      </c>
      <c r="M331" s="3">
        <v>50</v>
      </c>
      <c r="N331" t="s">
        <v>45</v>
      </c>
      <c r="O331" t="s">
        <v>13</v>
      </c>
      <c r="P331" t="s">
        <v>113</v>
      </c>
      <c r="Q331" t="s">
        <v>144</v>
      </c>
      <c r="R331" s="3">
        <v>100</v>
      </c>
      <c r="S331" s="4">
        <v>4</v>
      </c>
      <c r="T331" t="s">
        <v>145</v>
      </c>
      <c r="U331">
        <v>96</v>
      </c>
      <c r="V331">
        <v>1</v>
      </c>
      <c r="W331"/>
    </row>
    <row r="332" spans="1:23" x14ac:dyDescent="0.3">
      <c r="A332">
        <v>331</v>
      </c>
      <c r="B332" s="1">
        <v>45622</v>
      </c>
      <c r="C332" t="s">
        <v>162</v>
      </c>
      <c r="D332">
        <v>2024</v>
      </c>
      <c r="E332" t="s">
        <v>12</v>
      </c>
      <c r="F332" t="s">
        <v>7</v>
      </c>
      <c r="G332" t="s">
        <v>13</v>
      </c>
      <c r="H332" t="s">
        <v>71</v>
      </c>
      <c r="I332" t="s">
        <v>63</v>
      </c>
      <c r="J332" t="s">
        <v>64</v>
      </c>
      <c r="K332" s="2">
        <v>4</v>
      </c>
      <c r="L332" t="s">
        <v>143</v>
      </c>
      <c r="M332" s="3">
        <v>300</v>
      </c>
      <c r="N332" t="s">
        <v>51</v>
      </c>
      <c r="O332" t="s">
        <v>16</v>
      </c>
      <c r="P332" t="s">
        <v>113</v>
      </c>
      <c r="Q332" t="s">
        <v>144</v>
      </c>
      <c r="R332" s="3">
        <v>1200</v>
      </c>
      <c r="S332" s="4">
        <v>72</v>
      </c>
      <c r="T332" t="s">
        <v>149</v>
      </c>
      <c r="U332">
        <v>1128</v>
      </c>
      <c r="V332">
        <v>1</v>
      </c>
      <c r="W332"/>
    </row>
    <row r="333" spans="1:23" x14ac:dyDescent="0.3">
      <c r="A333">
        <v>332</v>
      </c>
      <c r="B333" s="1">
        <v>45623</v>
      </c>
      <c r="C333" t="s">
        <v>162</v>
      </c>
      <c r="D333">
        <v>2024</v>
      </c>
      <c r="E333" t="s">
        <v>15</v>
      </c>
      <c r="F333" t="s">
        <v>7</v>
      </c>
      <c r="G333" t="s">
        <v>16</v>
      </c>
      <c r="H333" t="s">
        <v>58</v>
      </c>
      <c r="I333" t="s">
        <v>59</v>
      </c>
      <c r="J333" t="s">
        <v>60</v>
      </c>
      <c r="K333" s="2"/>
      <c r="L333" t="s">
        <v>147</v>
      </c>
      <c r="M333" s="3">
        <v>800</v>
      </c>
      <c r="N333" t="s">
        <v>47</v>
      </c>
      <c r="O333" t="s">
        <v>6</v>
      </c>
      <c r="P333" t="s">
        <v>115</v>
      </c>
      <c r="Q333" t="s">
        <v>146</v>
      </c>
      <c r="R333" s="3"/>
      <c r="S333" s="4"/>
      <c r="V333">
        <v>1</v>
      </c>
      <c r="W333"/>
    </row>
    <row r="334" spans="1:23" x14ac:dyDescent="0.3">
      <c r="A334">
        <v>333</v>
      </c>
      <c r="B334" s="1">
        <v>45624</v>
      </c>
      <c r="C334" t="s">
        <v>162</v>
      </c>
      <c r="D334">
        <v>2024</v>
      </c>
      <c r="E334" t="s">
        <v>5</v>
      </c>
      <c r="F334" t="s">
        <v>7</v>
      </c>
      <c r="G334" t="s">
        <v>6</v>
      </c>
      <c r="H334" t="s">
        <v>62</v>
      </c>
      <c r="I334" t="s">
        <v>63</v>
      </c>
      <c r="J334" t="s">
        <v>64</v>
      </c>
      <c r="K334" s="2">
        <v>2</v>
      </c>
      <c r="L334" t="s">
        <v>143</v>
      </c>
      <c r="M334" s="3">
        <v>150</v>
      </c>
      <c r="N334" t="s">
        <v>49</v>
      </c>
      <c r="O334" t="s">
        <v>10</v>
      </c>
      <c r="P334" t="s">
        <v>117</v>
      </c>
      <c r="Q334" t="s">
        <v>144</v>
      </c>
      <c r="R334" s="3">
        <v>300</v>
      </c>
      <c r="S334" s="4">
        <v>0</v>
      </c>
      <c r="T334" t="s">
        <v>145</v>
      </c>
      <c r="U334">
        <v>300</v>
      </c>
      <c r="V334">
        <v>1</v>
      </c>
      <c r="W334"/>
    </row>
    <row r="335" spans="1:23" x14ac:dyDescent="0.3">
      <c r="A335">
        <v>334</v>
      </c>
      <c r="B335" s="1">
        <v>45625</v>
      </c>
      <c r="C335" t="s">
        <v>162</v>
      </c>
      <c r="D335">
        <v>2024</v>
      </c>
      <c r="E335" t="s">
        <v>9</v>
      </c>
      <c r="F335" t="s">
        <v>7</v>
      </c>
      <c r="G335" t="s">
        <v>10</v>
      </c>
      <c r="H335" t="s">
        <v>66</v>
      </c>
      <c r="I335" t="s">
        <v>59</v>
      </c>
      <c r="J335" t="s">
        <v>67</v>
      </c>
      <c r="K335" s="2">
        <v>1</v>
      </c>
      <c r="L335" t="s">
        <v>143</v>
      </c>
      <c r="M335" s="3">
        <v>20</v>
      </c>
      <c r="N335" t="s">
        <v>51</v>
      </c>
      <c r="O335" t="s">
        <v>6</v>
      </c>
      <c r="P335" t="s">
        <v>113</v>
      </c>
      <c r="Q335" t="s">
        <v>144</v>
      </c>
      <c r="R335" s="3">
        <v>20</v>
      </c>
      <c r="S335" s="4">
        <v>0</v>
      </c>
      <c r="T335" t="s">
        <v>145</v>
      </c>
      <c r="U335">
        <v>20</v>
      </c>
      <c r="V335">
        <v>1</v>
      </c>
      <c r="W335"/>
    </row>
    <row r="336" spans="1:23" x14ac:dyDescent="0.3">
      <c r="A336">
        <v>335</v>
      </c>
      <c r="B336" s="1">
        <v>45626</v>
      </c>
      <c r="C336" t="s">
        <v>162</v>
      </c>
      <c r="D336">
        <v>2024</v>
      </c>
      <c r="E336" t="s">
        <v>12</v>
      </c>
      <c r="F336" t="s">
        <v>7</v>
      </c>
      <c r="G336" t="s">
        <v>13</v>
      </c>
      <c r="H336" t="s">
        <v>69</v>
      </c>
      <c r="I336" t="s">
        <v>59</v>
      </c>
      <c r="J336" t="s">
        <v>67</v>
      </c>
      <c r="K336" s="2">
        <v>5</v>
      </c>
      <c r="L336" t="s">
        <v>143</v>
      </c>
      <c r="M336" s="3">
        <v>50</v>
      </c>
      <c r="N336" t="s">
        <v>45</v>
      </c>
      <c r="O336" t="s">
        <v>6</v>
      </c>
      <c r="P336" t="s">
        <v>113</v>
      </c>
      <c r="Q336" t="s">
        <v>146</v>
      </c>
      <c r="R336" s="3">
        <v>250</v>
      </c>
      <c r="S336" s="4">
        <v>12.5</v>
      </c>
      <c r="T336" t="s">
        <v>145</v>
      </c>
      <c r="U336">
        <v>237.5</v>
      </c>
      <c r="V336">
        <v>1</v>
      </c>
      <c r="W336"/>
    </row>
    <row r="337" spans="1:23" x14ac:dyDescent="0.3">
      <c r="A337">
        <v>336</v>
      </c>
      <c r="B337" s="1">
        <v>45303</v>
      </c>
      <c r="C337" t="s">
        <v>153</v>
      </c>
      <c r="D337">
        <v>2024</v>
      </c>
      <c r="E337" t="s">
        <v>15</v>
      </c>
      <c r="F337" t="s">
        <v>7</v>
      </c>
      <c r="G337" t="s">
        <v>16</v>
      </c>
      <c r="H337" t="s">
        <v>71</v>
      </c>
      <c r="I337" t="s">
        <v>63</v>
      </c>
      <c r="J337" t="s">
        <v>64</v>
      </c>
      <c r="K337" s="2">
        <v>3</v>
      </c>
      <c r="L337" t="s">
        <v>143</v>
      </c>
      <c r="M337" s="3">
        <v>300</v>
      </c>
      <c r="N337" t="s">
        <v>51</v>
      </c>
      <c r="O337" t="s">
        <v>13</v>
      </c>
      <c r="P337" t="s">
        <v>113</v>
      </c>
      <c r="Q337" t="s">
        <v>144</v>
      </c>
      <c r="R337" s="3">
        <v>900</v>
      </c>
      <c r="S337" s="4">
        <v>36</v>
      </c>
      <c r="T337" t="s">
        <v>145</v>
      </c>
      <c r="U337">
        <v>864</v>
      </c>
      <c r="V337">
        <v>1</v>
      </c>
      <c r="W337"/>
    </row>
    <row r="338" spans="1:23" x14ac:dyDescent="0.3">
      <c r="A338">
        <v>337</v>
      </c>
      <c r="B338" s="1">
        <v>45334</v>
      </c>
      <c r="C338" t="s">
        <v>157</v>
      </c>
      <c r="D338">
        <v>2024</v>
      </c>
      <c r="E338" t="s">
        <v>5</v>
      </c>
      <c r="F338" t="s">
        <v>7</v>
      </c>
      <c r="G338" t="s">
        <v>6</v>
      </c>
      <c r="H338" t="s">
        <v>58</v>
      </c>
      <c r="I338" t="s">
        <v>59</v>
      </c>
      <c r="J338" t="s">
        <v>60</v>
      </c>
      <c r="K338" s="2">
        <v>2</v>
      </c>
      <c r="L338" t="s">
        <v>143</v>
      </c>
      <c r="M338" s="3">
        <v>800</v>
      </c>
      <c r="N338" t="s">
        <v>47</v>
      </c>
      <c r="O338" t="s">
        <v>16</v>
      </c>
      <c r="P338" t="s">
        <v>115</v>
      </c>
      <c r="Q338" t="s">
        <v>144</v>
      </c>
      <c r="R338" s="3">
        <v>1600</v>
      </c>
      <c r="S338" s="4">
        <v>0</v>
      </c>
      <c r="T338" t="s">
        <v>149</v>
      </c>
      <c r="U338">
        <v>1600</v>
      </c>
      <c r="V338">
        <v>1</v>
      </c>
      <c r="W338"/>
    </row>
    <row r="339" spans="1:23" x14ac:dyDescent="0.3">
      <c r="A339">
        <v>338</v>
      </c>
      <c r="B339" s="1">
        <v>45363</v>
      </c>
      <c r="C339" t="s">
        <v>158</v>
      </c>
      <c r="D339">
        <v>2024</v>
      </c>
      <c r="E339" t="s">
        <v>9</v>
      </c>
      <c r="F339" t="s">
        <v>7</v>
      </c>
      <c r="G339" t="s">
        <v>10</v>
      </c>
      <c r="H339" t="s">
        <v>62</v>
      </c>
      <c r="I339" t="s">
        <v>63</v>
      </c>
      <c r="J339" t="s">
        <v>64</v>
      </c>
      <c r="K339" s="2">
        <v>4</v>
      </c>
      <c r="L339" t="s">
        <v>143</v>
      </c>
      <c r="M339" s="3">
        <v>150</v>
      </c>
      <c r="N339" t="s">
        <v>49</v>
      </c>
      <c r="O339" t="s">
        <v>6</v>
      </c>
      <c r="P339" t="s">
        <v>117</v>
      </c>
      <c r="Q339" t="s">
        <v>146</v>
      </c>
      <c r="R339" s="3">
        <v>600</v>
      </c>
      <c r="S339" s="4">
        <v>30</v>
      </c>
      <c r="T339" t="s">
        <v>145</v>
      </c>
      <c r="U339">
        <v>570</v>
      </c>
      <c r="V339">
        <v>1</v>
      </c>
      <c r="W339"/>
    </row>
    <row r="340" spans="1:23" x14ac:dyDescent="0.3">
      <c r="A340">
        <v>339</v>
      </c>
      <c r="B340" s="1">
        <v>45394</v>
      </c>
      <c r="C340" t="s">
        <v>156</v>
      </c>
      <c r="D340">
        <v>2024</v>
      </c>
      <c r="E340" t="s">
        <v>12</v>
      </c>
      <c r="F340" t="s">
        <v>7</v>
      </c>
      <c r="G340" t="s">
        <v>13</v>
      </c>
      <c r="H340" t="s">
        <v>66</v>
      </c>
      <c r="I340" t="s">
        <v>59</v>
      </c>
      <c r="J340" t="s">
        <v>67</v>
      </c>
      <c r="K340" s="2">
        <v>2</v>
      </c>
      <c r="L340" t="s">
        <v>143</v>
      </c>
      <c r="M340" s="3">
        <v>20</v>
      </c>
      <c r="N340" t="s">
        <v>51</v>
      </c>
      <c r="O340" t="s">
        <v>6</v>
      </c>
      <c r="P340" t="s">
        <v>113</v>
      </c>
      <c r="Q340" t="s">
        <v>144</v>
      </c>
      <c r="R340" s="3">
        <v>40</v>
      </c>
      <c r="S340" s="4">
        <v>2</v>
      </c>
      <c r="T340" t="s">
        <v>145</v>
      </c>
      <c r="U340">
        <v>38</v>
      </c>
      <c r="V340">
        <v>1</v>
      </c>
      <c r="W340"/>
    </row>
    <row r="341" spans="1:23" x14ac:dyDescent="0.3">
      <c r="A341">
        <v>340</v>
      </c>
      <c r="B341" s="1">
        <v>45424</v>
      </c>
      <c r="C341" t="s">
        <v>159</v>
      </c>
      <c r="D341">
        <v>2024</v>
      </c>
      <c r="E341" t="s">
        <v>15</v>
      </c>
      <c r="F341" t="s">
        <v>7</v>
      </c>
      <c r="G341" t="s">
        <v>16</v>
      </c>
      <c r="H341" t="s">
        <v>69</v>
      </c>
      <c r="I341" t="s">
        <v>59</v>
      </c>
      <c r="J341" t="s">
        <v>67</v>
      </c>
      <c r="K341" s="2">
        <v>1</v>
      </c>
      <c r="L341" t="s">
        <v>143</v>
      </c>
      <c r="M341" s="3">
        <v>50</v>
      </c>
      <c r="N341" t="s">
        <v>45</v>
      </c>
      <c r="O341" t="s">
        <v>10</v>
      </c>
      <c r="P341" t="s">
        <v>113</v>
      </c>
      <c r="Q341" t="s">
        <v>144</v>
      </c>
      <c r="R341" s="3">
        <v>50</v>
      </c>
      <c r="S341" s="4">
        <v>0</v>
      </c>
      <c r="T341" t="s">
        <v>145</v>
      </c>
      <c r="U341">
        <v>50</v>
      </c>
      <c r="V341">
        <v>1</v>
      </c>
      <c r="W341"/>
    </row>
    <row r="342" spans="1:23" x14ac:dyDescent="0.3">
      <c r="A342">
        <v>341</v>
      </c>
      <c r="B342" s="1">
        <v>45455</v>
      </c>
      <c r="C342" t="s">
        <v>164</v>
      </c>
      <c r="D342">
        <v>2024</v>
      </c>
      <c r="E342" t="s">
        <v>5</v>
      </c>
      <c r="F342" t="s">
        <v>7</v>
      </c>
      <c r="G342" t="s">
        <v>6</v>
      </c>
      <c r="H342" t="s">
        <v>71</v>
      </c>
      <c r="I342" t="s">
        <v>63</v>
      </c>
      <c r="J342" t="s">
        <v>64</v>
      </c>
      <c r="K342" s="2">
        <v>5</v>
      </c>
      <c r="L342" t="s">
        <v>143</v>
      </c>
      <c r="M342" s="3">
        <v>300</v>
      </c>
      <c r="N342" t="s">
        <v>51</v>
      </c>
      <c r="O342" t="s">
        <v>13</v>
      </c>
      <c r="P342" t="s">
        <v>113</v>
      </c>
      <c r="Q342" t="s">
        <v>146</v>
      </c>
      <c r="R342" s="3">
        <v>1500</v>
      </c>
      <c r="S342" s="4">
        <v>60</v>
      </c>
      <c r="T342" t="s">
        <v>149</v>
      </c>
      <c r="U342">
        <v>1440</v>
      </c>
      <c r="V342">
        <v>1</v>
      </c>
      <c r="W342"/>
    </row>
    <row r="343" spans="1:23" x14ac:dyDescent="0.3">
      <c r="A343">
        <v>342</v>
      </c>
      <c r="B343" s="1">
        <v>45485</v>
      </c>
      <c r="C343" t="s">
        <v>160</v>
      </c>
      <c r="D343">
        <v>2024</v>
      </c>
      <c r="E343" t="s">
        <v>9</v>
      </c>
      <c r="F343" t="s">
        <v>7</v>
      </c>
      <c r="G343" t="s">
        <v>10</v>
      </c>
      <c r="H343" t="s">
        <v>58</v>
      </c>
      <c r="I343" t="s">
        <v>59</v>
      </c>
      <c r="J343" t="s">
        <v>60</v>
      </c>
      <c r="K343" s="2">
        <v>3</v>
      </c>
      <c r="L343" t="s">
        <v>143</v>
      </c>
      <c r="M343" s="3">
        <v>800</v>
      </c>
      <c r="N343" t="s">
        <v>47</v>
      </c>
      <c r="O343" t="s">
        <v>16</v>
      </c>
      <c r="P343" t="s">
        <v>115</v>
      </c>
      <c r="Q343" t="s">
        <v>144</v>
      </c>
      <c r="R343" s="3">
        <v>2400</v>
      </c>
      <c r="S343" s="4">
        <v>144</v>
      </c>
      <c r="T343" t="s">
        <v>150</v>
      </c>
      <c r="U343">
        <v>2256</v>
      </c>
      <c r="V343">
        <v>1</v>
      </c>
      <c r="W343"/>
    </row>
    <row r="344" spans="1:23" x14ac:dyDescent="0.3">
      <c r="A344">
        <v>343</v>
      </c>
      <c r="B344" s="1">
        <v>45516</v>
      </c>
      <c r="C344" t="s">
        <v>154</v>
      </c>
      <c r="D344">
        <v>2024</v>
      </c>
      <c r="E344" t="s">
        <v>12</v>
      </c>
      <c r="F344" t="s">
        <v>7</v>
      </c>
      <c r="G344" t="s">
        <v>13</v>
      </c>
      <c r="H344" t="s">
        <v>62</v>
      </c>
      <c r="I344" t="s">
        <v>63</v>
      </c>
      <c r="J344" t="s">
        <v>64</v>
      </c>
      <c r="K344" s="2">
        <v>2</v>
      </c>
      <c r="L344" t="s">
        <v>143</v>
      </c>
      <c r="M344" s="3">
        <v>150</v>
      </c>
      <c r="N344" t="s">
        <v>49</v>
      </c>
      <c r="O344" t="s">
        <v>6</v>
      </c>
      <c r="P344" t="s">
        <v>117</v>
      </c>
      <c r="Q344" t="s">
        <v>144</v>
      </c>
      <c r="R344" s="3">
        <v>300</v>
      </c>
      <c r="S344" s="4">
        <v>15</v>
      </c>
      <c r="T344" t="s">
        <v>145</v>
      </c>
      <c r="U344">
        <v>285</v>
      </c>
      <c r="V344">
        <v>1</v>
      </c>
      <c r="W344"/>
    </row>
    <row r="345" spans="1:23" x14ac:dyDescent="0.3">
      <c r="A345">
        <v>344</v>
      </c>
      <c r="B345" s="1">
        <v>45547</v>
      </c>
      <c r="C345" t="s">
        <v>161</v>
      </c>
      <c r="D345">
        <v>2024</v>
      </c>
      <c r="E345" t="s">
        <v>15</v>
      </c>
      <c r="F345" t="s">
        <v>7</v>
      </c>
      <c r="G345" t="s">
        <v>16</v>
      </c>
      <c r="H345" t="s">
        <v>66</v>
      </c>
      <c r="I345" t="s">
        <v>59</v>
      </c>
      <c r="J345" t="s">
        <v>67</v>
      </c>
      <c r="K345" s="2">
        <v>4</v>
      </c>
      <c r="L345" t="s">
        <v>143</v>
      </c>
      <c r="M345" s="3">
        <v>20</v>
      </c>
      <c r="N345" t="s">
        <v>51</v>
      </c>
      <c r="O345" t="s">
        <v>6</v>
      </c>
      <c r="P345" t="s">
        <v>113</v>
      </c>
      <c r="Q345" t="s">
        <v>146</v>
      </c>
      <c r="R345" s="3">
        <v>80</v>
      </c>
      <c r="S345" s="4">
        <v>4</v>
      </c>
      <c r="T345" t="s">
        <v>145</v>
      </c>
      <c r="U345">
        <v>76</v>
      </c>
      <c r="V345">
        <v>1</v>
      </c>
      <c r="W345"/>
    </row>
    <row r="346" spans="1:23" x14ac:dyDescent="0.3">
      <c r="A346">
        <v>345</v>
      </c>
      <c r="B346" s="1">
        <v>45577</v>
      </c>
      <c r="C346" t="s">
        <v>155</v>
      </c>
      <c r="D346">
        <v>2024</v>
      </c>
      <c r="E346" t="s">
        <v>5</v>
      </c>
      <c r="F346" t="s">
        <v>7</v>
      </c>
      <c r="G346" t="s">
        <v>6</v>
      </c>
      <c r="H346" t="s">
        <v>69</v>
      </c>
      <c r="I346" t="s">
        <v>59</v>
      </c>
      <c r="J346" t="s">
        <v>67</v>
      </c>
      <c r="K346" s="2">
        <v>1</v>
      </c>
      <c r="L346" t="s">
        <v>143</v>
      </c>
      <c r="M346" s="3">
        <v>50</v>
      </c>
      <c r="N346" t="s">
        <v>45</v>
      </c>
      <c r="O346" t="s">
        <v>6</v>
      </c>
      <c r="P346" t="s">
        <v>113</v>
      </c>
      <c r="Q346" t="s">
        <v>144</v>
      </c>
      <c r="R346" s="3">
        <v>50</v>
      </c>
      <c r="S346" s="4">
        <v>0</v>
      </c>
      <c r="T346" t="s">
        <v>145</v>
      </c>
      <c r="U346">
        <v>50</v>
      </c>
      <c r="V346">
        <v>1</v>
      </c>
      <c r="W346"/>
    </row>
    <row r="347" spans="1:23" x14ac:dyDescent="0.3">
      <c r="A347">
        <v>346</v>
      </c>
      <c r="B347" s="1">
        <v>45608</v>
      </c>
      <c r="C347" t="s">
        <v>162</v>
      </c>
      <c r="D347">
        <v>2024</v>
      </c>
      <c r="E347" t="s">
        <v>9</v>
      </c>
      <c r="F347" t="s">
        <v>7</v>
      </c>
      <c r="G347" t="s">
        <v>10</v>
      </c>
      <c r="H347" t="s">
        <v>71</v>
      </c>
      <c r="I347" t="s">
        <v>63</v>
      </c>
      <c r="J347" t="s">
        <v>64</v>
      </c>
      <c r="K347" s="2">
        <v>2</v>
      </c>
      <c r="L347" t="s">
        <v>143</v>
      </c>
      <c r="M347" s="3">
        <v>300</v>
      </c>
      <c r="N347" t="s">
        <v>51</v>
      </c>
      <c r="O347" t="s">
        <v>10</v>
      </c>
      <c r="P347" t="s">
        <v>113</v>
      </c>
      <c r="Q347" t="s">
        <v>144</v>
      </c>
      <c r="R347" s="3">
        <v>600</v>
      </c>
      <c r="S347" s="4">
        <v>0</v>
      </c>
      <c r="T347" t="s">
        <v>145</v>
      </c>
      <c r="U347">
        <v>600</v>
      </c>
      <c r="V347">
        <v>1</v>
      </c>
      <c r="W347"/>
    </row>
    <row r="348" spans="1:23" x14ac:dyDescent="0.3">
      <c r="A348">
        <v>347</v>
      </c>
      <c r="B348" s="1">
        <v>45638</v>
      </c>
      <c r="C348" t="s">
        <v>163</v>
      </c>
      <c r="D348">
        <v>2024</v>
      </c>
      <c r="E348" t="s">
        <v>12</v>
      </c>
      <c r="F348" t="s">
        <v>7</v>
      </c>
      <c r="G348" t="s">
        <v>13</v>
      </c>
      <c r="H348" t="s">
        <v>58</v>
      </c>
      <c r="I348" t="s">
        <v>59</v>
      </c>
      <c r="J348" t="s">
        <v>60</v>
      </c>
      <c r="K348" s="2">
        <v>3</v>
      </c>
      <c r="L348" t="s">
        <v>143</v>
      </c>
      <c r="M348" s="3">
        <v>800</v>
      </c>
      <c r="N348" t="s">
        <v>47</v>
      </c>
      <c r="O348" t="s">
        <v>13</v>
      </c>
      <c r="P348" t="s">
        <v>115</v>
      </c>
      <c r="Q348" t="s">
        <v>146</v>
      </c>
      <c r="R348" s="3">
        <v>2400</v>
      </c>
      <c r="S348" s="4">
        <v>96</v>
      </c>
      <c r="T348" t="s">
        <v>150</v>
      </c>
      <c r="U348">
        <v>2304</v>
      </c>
      <c r="V348">
        <v>1</v>
      </c>
      <c r="W348"/>
    </row>
    <row r="349" spans="1:23" x14ac:dyDescent="0.3">
      <c r="A349">
        <v>348</v>
      </c>
      <c r="B349" s="1">
        <v>45639</v>
      </c>
      <c r="C349" t="s">
        <v>163</v>
      </c>
      <c r="D349">
        <v>2024</v>
      </c>
      <c r="E349" t="s">
        <v>15</v>
      </c>
      <c r="F349" t="s">
        <v>7</v>
      </c>
      <c r="G349" t="s">
        <v>16</v>
      </c>
      <c r="H349" t="s">
        <v>62</v>
      </c>
      <c r="I349" t="s">
        <v>63</v>
      </c>
      <c r="J349" t="s">
        <v>64</v>
      </c>
      <c r="K349" s="2"/>
      <c r="L349" t="s">
        <v>147</v>
      </c>
      <c r="M349" s="3">
        <v>150</v>
      </c>
      <c r="N349" t="s">
        <v>49</v>
      </c>
      <c r="O349" t="s">
        <v>16</v>
      </c>
      <c r="P349" t="s">
        <v>117</v>
      </c>
      <c r="Q349" t="s">
        <v>144</v>
      </c>
      <c r="R349" s="3"/>
      <c r="S349" s="4"/>
      <c r="V349">
        <v>1</v>
      </c>
      <c r="W349"/>
    </row>
    <row r="350" spans="1:23" x14ac:dyDescent="0.3">
      <c r="A350">
        <v>349</v>
      </c>
      <c r="B350" s="1">
        <v>45640</v>
      </c>
      <c r="C350" t="s">
        <v>163</v>
      </c>
      <c r="D350">
        <v>2024</v>
      </c>
      <c r="E350" t="s">
        <v>5</v>
      </c>
      <c r="F350" t="s">
        <v>7</v>
      </c>
      <c r="G350" t="s">
        <v>6</v>
      </c>
      <c r="H350" t="s">
        <v>66</v>
      </c>
      <c r="I350" t="s">
        <v>59</v>
      </c>
      <c r="J350" t="s">
        <v>67</v>
      </c>
      <c r="K350" s="2">
        <v>2</v>
      </c>
      <c r="L350" t="s">
        <v>143</v>
      </c>
      <c r="M350" s="3">
        <v>20</v>
      </c>
      <c r="N350" t="s">
        <v>51</v>
      </c>
      <c r="O350" t="s">
        <v>6</v>
      </c>
      <c r="P350" t="s">
        <v>113</v>
      </c>
      <c r="Q350" t="s">
        <v>144</v>
      </c>
      <c r="R350" s="3">
        <v>40</v>
      </c>
      <c r="S350" s="4">
        <v>2</v>
      </c>
      <c r="T350" t="s">
        <v>145</v>
      </c>
      <c r="U350">
        <v>38</v>
      </c>
      <c r="V350">
        <v>1</v>
      </c>
      <c r="W350"/>
    </row>
    <row r="351" spans="1:23" x14ac:dyDescent="0.3">
      <c r="A351">
        <v>350</v>
      </c>
      <c r="B351" s="1">
        <v>45641</v>
      </c>
      <c r="C351" t="s">
        <v>163</v>
      </c>
      <c r="D351">
        <v>2024</v>
      </c>
      <c r="E351" t="s">
        <v>9</v>
      </c>
      <c r="F351" t="s">
        <v>7</v>
      </c>
      <c r="G351" t="s">
        <v>10</v>
      </c>
      <c r="H351" t="s">
        <v>69</v>
      </c>
      <c r="I351" t="s">
        <v>59</v>
      </c>
      <c r="J351" t="s">
        <v>67</v>
      </c>
      <c r="K351" s="2">
        <v>5</v>
      </c>
      <c r="L351" t="s">
        <v>143</v>
      </c>
      <c r="M351" s="3">
        <v>50</v>
      </c>
      <c r="N351" t="s">
        <v>45</v>
      </c>
      <c r="O351" t="s">
        <v>6</v>
      </c>
      <c r="P351" t="s">
        <v>113</v>
      </c>
      <c r="Q351" t="s">
        <v>146</v>
      </c>
      <c r="R351" s="3">
        <v>250</v>
      </c>
      <c r="S351" s="4">
        <v>12.5</v>
      </c>
      <c r="T351" t="s">
        <v>145</v>
      </c>
      <c r="U351">
        <v>237.5</v>
      </c>
      <c r="V351">
        <v>1</v>
      </c>
      <c r="W351"/>
    </row>
    <row r="352" spans="1:23" x14ac:dyDescent="0.3">
      <c r="A352">
        <v>351</v>
      </c>
      <c r="B352" s="1">
        <v>45642</v>
      </c>
      <c r="C352" t="s">
        <v>163</v>
      </c>
      <c r="D352">
        <v>2024</v>
      </c>
      <c r="E352" t="s">
        <v>12</v>
      </c>
      <c r="F352" t="s">
        <v>7</v>
      </c>
      <c r="G352" t="s">
        <v>13</v>
      </c>
      <c r="H352" t="s">
        <v>71</v>
      </c>
      <c r="I352" t="s">
        <v>63</v>
      </c>
      <c r="J352" t="s">
        <v>64</v>
      </c>
      <c r="K352" s="2">
        <v>1</v>
      </c>
      <c r="L352" t="s">
        <v>143</v>
      </c>
      <c r="M352" s="3">
        <v>300</v>
      </c>
      <c r="N352" t="s">
        <v>51</v>
      </c>
      <c r="O352" t="s">
        <v>13</v>
      </c>
      <c r="P352" t="s">
        <v>113</v>
      </c>
      <c r="Q352" t="s">
        <v>144</v>
      </c>
      <c r="R352" s="3">
        <v>300</v>
      </c>
      <c r="S352" s="4">
        <v>0</v>
      </c>
      <c r="T352" t="s">
        <v>145</v>
      </c>
      <c r="U352">
        <v>300</v>
      </c>
      <c r="V352">
        <v>1</v>
      </c>
      <c r="W352"/>
    </row>
    <row r="353" spans="1:23" x14ac:dyDescent="0.3">
      <c r="A353">
        <v>352</v>
      </c>
      <c r="B353" s="1">
        <v>45643</v>
      </c>
      <c r="C353" t="s">
        <v>163</v>
      </c>
      <c r="D353">
        <v>2024</v>
      </c>
      <c r="E353" t="s">
        <v>15</v>
      </c>
      <c r="F353" t="s">
        <v>7</v>
      </c>
      <c r="G353" t="s">
        <v>16</v>
      </c>
      <c r="H353" t="s">
        <v>58</v>
      </c>
      <c r="I353" t="s">
        <v>59</v>
      </c>
      <c r="J353" t="s">
        <v>60</v>
      </c>
      <c r="K353" s="2">
        <v>4</v>
      </c>
      <c r="L353" t="s">
        <v>143</v>
      </c>
      <c r="M353" s="3">
        <v>800</v>
      </c>
      <c r="N353" t="s">
        <v>47</v>
      </c>
      <c r="O353" t="s">
        <v>10</v>
      </c>
      <c r="P353" t="s">
        <v>115</v>
      </c>
      <c r="Q353" t="s">
        <v>146</v>
      </c>
      <c r="R353" s="3">
        <v>3200</v>
      </c>
      <c r="S353" s="4">
        <v>224</v>
      </c>
      <c r="T353" t="s">
        <v>150</v>
      </c>
      <c r="U353">
        <v>2976</v>
      </c>
      <c r="V353">
        <v>1</v>
      </c>
      <c r="W353"/>
    </row>
    <row r="354" spans="1:23" x14ac:dyDescent="0.3">
      <c r="A354">
        <v>353</v>
      </c>
      <c r="B354" s="1">
        <v>45644</v>
      </c>
      <c r="C354" t="s">
        <v>163</v>
      </c>
      <c r="D354">
        <v>2024</v>
      </c>
      <c r="E354" t="s">
        <v>5</v>
      </c>
      <c r="F354" t="s">
        <v>7</v>
      </c>
      <c r="G354" t="s">
        <v>6</v>
      </c>
      <c r="H354" t="s">
        <v>62</v>
      </c>
      <c r="I354" t="s">
        <v>63</v>
      </c>
      <c r="J354" t="s">
        <v>64</v>
      </c>
      <c r="K354" s="2">
        <v>2</v>
      </c>
      <c r="L354" t="s">
        <v>143</v>
      </c>
      <c r="M354" s="3">
        <v>150</v>
      </c>
      <c r="N354" t="s">
        <v>49</v>
      </c>
      <c r="O354" t="s">
        <v>6</v>
      </c>
      <c r="P354" t="s">
        <v>117</v>
      </c>
      <c r="Q354" t="s">
        <v>144</v>
      </c>
      <c r="R354" s="3">
        <v>300</v>
      </c>
      <c r="S354" s="4">
        <v>15</v>
      </c>
      <c r="T354" t="s">
        <v>145</v>
      </c>
      <c r="U354">
        <v>285</v>
      </c>
      <c r="V354">
        <v>1</v>
      </c>
      <c r="W354"/>
    </row>
    <row r="355" spans="1:23" x14ac:dyDescent="0.3">
      <c r="A355">
        <v>354</v>
      </c>
      <c r="B355" s="1">
        <v>45645</v>
      </c>
      <c r="C355" t="s">
        <v>163</v>
      </c>
      <c r="D355">
        <v>2024</v>
      </c>
      <c r="E355" t="s">
        <v>9</v>
      </c>
      <c r="F355" t="s">
        <v>7</v>
      </c>
      <c r="G355" t="s">
        <v>10</v>
      </c>
      <c r="H355" t="s">
        <v>66</v>
      </c>
      <c r="I355" t="s">
        <v>59</v>
      </c>
      <c r="J355" t="s">
        <v>67</v>
      </c>
      <c r="K355" s="2">
        <v>3</v>
      </c>
      <c r="L355" t="s">
        <v>143</v>
      </c>
      <c r="M355" s="3">
        <v>20</v>
      </c>
      <c r="N355" t="s">
        <v>51</v>
      </c>
      <c r="O355" t="s">
        <v>6</v>
      </c>
      <c r="P355" t="s">
        <v>113</v>
      </c>
      <c r="Q355" t="s">
        <v>144</v>
      </c>
      <c r="R355" s="3">
        <v>60</v>
      </c>
      <c r="S355" s="4">
        <v>3</v>
      </c>
      <c r="T355" t="s">
        <v>145</v>
      </c>
      <c r="U355">
        <v>57</v>
      </c>
      <c r="V355">
        <v>1</v>
      </c>
      <c r="W355"/>
    </row>
    <row r="356" spans="1:23" x14ac:dyDescent="0.3">
      <c r="A356">
        <v>355</v>
      </c>
      <c r="B356" s="1">
        <v>45646</v>
      </c>
      <c r="C356" t="s">
        <v>163</v>
      </c>
      <c r="D356">
        <v>2024</v>
      </c>
      <c r="E356" t="s">
        <v>12</v>
      </c>
      <c r="F356" t="s">
        <v>7</v>
      </c>
      <c r="G356" t="s">
        <v>13</v>
      </c>
      <c r="H356" t="s">
        <v>69</v>
      </c>
      <c r="I356" t="s">
        <v>59</v>
      </c>
      <c r="J356" t="s">
        <v>67</v>
      </c>
      <c r="K356" s="2">
        <v>2</v>
      </c>
      <c r="L356" t="s">
        <v>143</v>
      </c>
      <c r="M356" s="3">
        <v>50</v>
      </c>
      <c r="N356" t="s">
        <v>45</v>
      </c>
      <c r="O356" t="s">
        <v>13</v>
      </c>
      <c r="P356" t="s">
        <v>113</v>
      </c>
      <c r="Q356" t="s">
        <v>146</v>
      </c>
      <c r="R356" s="3">
        <v>100</v>
      </c>
      <c r="S356" s="4">
        <v>4</v>
      </c>
      <c r="T356" t="s">
        <v>145</v>
      </c>
      <c r="U356">
        <v>96</v>
      </c>
      <c r="V356">
        <v>1</v>
      </c>
      <c r="W356"/>
    </row>
    <row r="357" spans="1:23" x14ac:dyDescent="0.3">
      <c r="A357">
        <v>356</v>
      </c>
      <c r="B357" s="1">
        <v>45647</v>
      </c>
      <c r="C357" t="s">
        <v>163</v>
      </c>
      <c r="D357">
        <v>2024</v>
      </c>
      <c r="E357" t="s">
        <v>15</v>
      </c>
      <c r="F357" t="s">
        <v>7</v>
      </c>
      <c r="G357" t="s">
        <v>16</v>
      </c>
      <c r="H357" t="s">
        <v>71</v>
      </c>
      <c r="I357" t="s">
        <v>63</v>
      </c>
      <c r="J357" t="s">
        <v>64</v>
      </c>
      <c r="K357" s="2">
        <v>5</v>
      </c>
      <c r="L357" t="s">
        <v>143</v>
      </c>
      <c r="M357" s="3">
        <v>300</v>
      </c>
      <c r="N357" t="s">
        <v>51</v>
      </c>
      <c r="O357" t="s">
        <v>16</v>
      </c>
      <c r="P357" t="s">
        <v>113</v>
      </c>
      <c r="Q357" t="s">
        <v>144</v>
      </c>
      <c r="R357" s="3">
        <v>1500</v>
      </c>
      <c r="S357" s="4">
        <v>90</v>
      </c>
      <c r="T357" t="s">
        <v>149</v>
      </c>
      <c r="U357">
        <v>1410</v>
      </c>
      <c r="V357">
        <v>1</v>
      </c>
      <c r="W357"/>
    </row>
    <row r="358" spans="1:23" x14ac:dyDescent="0.3">
      <c r="A358">
        <v>357</v>
      </c>
      <c r="B358" s="1">
        <v>45648</v>
      </c>
      <c r="C358" t="s">
        <v>163</v>
      </c>
      <c r="D358">
        <v>2024</v>
      </c>
      <c r="E358" t="s">
        <v>5</v>
      </c>
      <c r="F358" t="s">
        <v>7</v>
      </c>
      <c r="G358" t="s">
        <v>6</v>
      </c>
      <c r="H358" t="s">
        <v>58</v>
      </c>
      <c r="I358" t="s">
        <v>59</v>
      </c>
      <c r="J358" t="s">
        <v>60</v>
      </c>
      <c r="K358" s="2"/>
      <c r="L358" t="s">
        <v>147</v>
      </c>
      <c r="M358" s="3">
        <v>800</v>
      </c>
      <c r="N358" t="s">
        <v>47</v>
      </c>
      <c r="O358" t="s">
        <v>6</v>
      </c>
      <c r="P358" t="s">
        <v>115</v>
      </c>
      <c r="Q358" t="s">
        <v>146</v>
      </c>
      <c r="R358" s="3"/>
      <c r="S358" s="4"/>
      <c r="V358">
        <v>1</v>
      </c>
      <c r="W358"/>
    </row>
    <row r="359" spans="1:23" x14ac:dyDescent="0.3">
      <c r="A359">
        <v>358</v>
      </c>
      <c r="B359" s="1">
        <v>45649</v>
      </c>
      <c r="C359" t="s">
        <v>163</v>
      </c>
      <c r="D359">
        <v>2024</v>
      </c>
      <c r="E359" t="s">
        <v>9</v>
      </c>
      <c r="F359" t="s">
        <v>7</v>
      </c>
      <c r="G359" t="s">
        <v>10</v>
      </c>
      <c r="H359" t="s">
        <v>62</v>
      </c>
      <c r="I359" t="s">
        <v>63</v>
      </c>
      <c r="J359" t="s">
        <v>64</v>
      </c>
      <c r="K359" s="2">
        <v>1</v>
      </c>
      <c r="L359" t="s">
        <v>143</v>
      </c>
      <c r="M359" s="3">
        <v>150</v>
      </c>
      <c r="N359" t="s">
        <v>49</v>
      </c>
      <c r="O359" t="s">
        <v>6</v>
      </c>
      <c r="P359" t="s">
        <v>117</v>
      </c>
      <c r="Q359" t="s">
        <v>144</v>
      </c>
      <c r="R359" s="3">
        <v>150</v>
      </c>
      <c r="S359" s="4">
        <v>0</v>
      </c>
      <c r="T359" t="s">
        <v>145</v>
      </c>
      <c r="U359">
        <v>150</v>
      </c>
      <c r="V359">
        <v>1</v>
      </c>
      <c r="W359"/>
    </row>
    <row r="360" spans="1:23" x14ac:dyDescent="0.3">
      <c r="A360">
        <v>359</v>
      </c>
      <c r="B360" s="1">
        <v>45650</v>
      </c>
      <c r="C360" t="s">
        <v>163</v>
      </c>
      <c r="D360">
        <v>2024</v>
      </c>
      <c r="E360" t="s">
        <v>12</v>
      </c>
      <c r="F360" t="s">
        <v>7</v>
      </c>
      <c r="G360" t="s">
        <v>13</v>
      </c>
      <c r="H360" t="s">
        <v>66</v>
      </c>
      <c r="I360" t="s">
        <v>59</v>
      </c>
      <c r="J360" t="s">
        <v>67</v>
      </c>
      <c r="K360" s="2">
        <v>2</v>
      </c>
      <c r="L360" t="s">
        <v>143</v>
      </c>
      <c r="M360" s="3">
        <v>20</v>
      </c>
      <c r="N360" t="s">
        <v>51</v>
      </c>
      <c r="O360" t="s">
        <v>6</v>
      </c>
      <c r="P360" t="s">
        <v>113</v>
      </c>
      <c r="Q360" t="s">
        <v>144</v>
      </c>
      <c r="R360" s="3">
        <v>40</v>
      </c>
      <c r="S360" s="4">
        <v>2</v>
      </c>
      <c r="T360" t="s">
        <v>145</v>
      </c>
      <c r="U360">
        <v>38</v>
      </c>
      <c r="V360">
        <v>1</v>
      </c>
      <c r="W360"/>
    </row>
    <row r="361" spans="1:23" x14ac:dyDescent="0.3">
      <c r="A361">
        <v>360</v>
      </c>
      <c r="B361" s="1">
        <v>45651</v>
      </c>
      <c r="C361" t="s">
        <v>163</v>
      </c>
      <c r="D361">
        <v>2024</v>
      </c>
      <c r="E361" t="s">
        <v>15</v>
      </c>
      <c r="F361" t="s">
        <v>7</v>
      </c>
      <c r="G361" t="s">
        <v>16</v>
      </c>
      <c r="H361" t="s">
        <v>69</v>
      </c>
      <c r="I361" t="s">
        <v>59</v>
      </c>
      <c r="J361" t="s">
        <v>67</v>
      </c>
      <c r="K361" s="2">
        <v>4</v>
      </c>
      <c r="L361" t="s">
        <v>143</v>
      </c>
      <c r="M361" s="3">
        <v>50</v>
      </c>
      <c r="N361" t="s">
        <v>45</v>
      </c>
      <c r="O361" t="s">
        <v>10</v>
      </c>
      <c r="P361" t="s">
        <v>113</v>
      </c>
      <c r="Q361" t="s">
        <v>146</v>
      </c>
      <c r="R361" s="3">
        <v>200</v>
      </c>
      <c r="S361" s="4">
        <v>14</v>
      </c>
      <c r="T361" t="s">
        <v>145</v>
      </c>
      <c r="U361">
        <v>186</v>
      </c>
      <c r="V361">
        <v>1</v>
      </c>
      <c r="W361"/>
    </row>
    <row r="362" spans="1:23" x14ac:dyDescent="0.3">
      <c r="A362">
        <v>361</v>
      </c>
      <c r="B362" s="1">
        <v>45652</v>
      </c>
      <c r="C362" t="s">
        <v>163</v>
      </c>
      <c r="D362">
        <v>2024</v>
      </c>
      <c r="E362" t="s">
        <v>5</v>
      </c>
      <c r="F362" t="s">
        <v>7</v>
      </c>
      <c r="G362" t="s">
        <v>6</v>
      </c>
      <c r="H362" t="s">
        <v>71</v>
      </c>
      <c r="I362" t="s">
        <v>63</v>
      </c>
      <c r="J362" t="s">
        <v>64</v>
      </c>
      <c r="K362" s="2">
        <v>3</v>
      </c>
      <c r="L362" t="s">
        <v>143</v>
      </c>
      <c r="M362" s="3">
        <v>300</v>
      </c>
      <c r="N362" t="s">
        <v>51</v>
      </c>
      <c r="O362" t="s">
        <v>13</v>
      </c>
      <c r="P362" t="s">
        <v>113</v>
      </c>
      <c r="Q362" t="s">
        <v>144</v>
      </c>
      <c r="R362" s="3">
        <v>900</v>
      </c>
      <c r="S362" s="4">
        <v>36</v>
      </c>
      <c r="T362" t="s">
        <v>145</v>
      </c>
      <c r="U362">
        <v>864</v>
      </c>
      <c r="V362">
        <v>1</v>
      </c>
      <c r="W362"/>
    </row>
    <row r="363" spans="1:23" x14ac:dyDescent="0.3">
      <c r="A363">
        <v>362</v>
      </c>
      <c r="B363" s="1">
        <v>45653</v>
      </c>
      <c r="C363" t="s">
        <v>163</v>
      </c>
      <c r="D363">
        <v>2024</v>
      </c>
      <c r="E363" t="s">
        <v>9</v>
      </c>
      <c r="F363" t="s">
        <v>7</v>
      </c>
      <c r="G363" t="s">
        <v>10</v>
      </c>
      <c r="H363" t="s">
        <v>58</v>
      </c>
      <c r="I363" t="s">
        <v>59</v>
      </c>
      <c r="J363" t="s">
        <v>60</v>
      </c>
      <c r="K363" s="2">
        <v>2</v>
      </c>
      <c r="L363" t="s">
        <v>143</v>
      </c>
      <c r="M363" s="3">
        <v>800</v>
      </c>
      <c r="N363" t="s">
        <v>47</v>
      </c>
      <c r="O363" t="s">
        <v>16</v>
      </c>
      <c r="P363" t="s">
        <v>115</v>
      </c>
      <c r="Q363" t="s">
        <v>144</v>
      </c>
      <c r="R363" s="3">
        <v>1600</v>
      </c>
      <c r="S363" s="4">
        <v>0</v>
      </c>
      <c r="T363" t="s">
        <v>149</v>
      </c>
      <c r="U363">
        <v>1600</v>
      </c>
      <c r="V363">
        <v>1</v>
      </c>
      <c r="W363"/>
    </row>
    <row r="364" spans="1:23" x14ac:dyDescent="0.3">
      <c r="A364">
        <v>363</v>
      </c>
      <c r="B364" s="1">
        <v>45654</v>
      </c>
      <c r="C364" t="s">
        <v>163</v>
      </c>
      <c r="D364">
        <v>2024</v>
      </c>
      <c r="E364" t="s">
        <v>12</v>
      </c>
      <c r="F364" t="s">
        <v>7</v>
      </c>
      <c r="G364" t="s">
        <v>13</v>
      </c>
      <c r="H364" t="s">
        <v>62</v>
      </c>
      <c r="I364" t="s">
        <v>63</v>
      </c>
      <c r="J364" t="s">
        <v>64</v>
      </c>
      <c r="K364" s="2">
        <v>1</v>
      </c>
      <c r="L364" t="s">
        <v>143</v>
      </c>
      <c r="M364" s="3">
        <v>150</v>
      </c>
      <c r="N364" t="s">
        <v>49</v>
      </c>
      <c r="O364" t="s">
        <v>6</v>
      </c>
      <c r="P364" t="s">
        <v>117</v>
      </c>
      <c r="Q364" t="s">
        <v>146</v>
      </c>
      <c r="R364" s="3">
        <v>150</v>
      </c>
      <c r="S364" s="4">
        <v>0</v>
      </c>
      <c r="T364" t="s">
        <v>145</v>
      </c>
      <c r="U364">
        <v>150</v>
      </c>
      <c r="V364">
        <v>1</v>
      </c>
      <c r="W364"/>
    </row>
    <row r="365" spans="1:23" x14ac:dyDescent="0.3">
      <c r="A365">
        <v>364</v>
      </c>
      <c r="B365" s="1">
        <v>45655</v>
      </c>
      <c r="C365" t="s">
        <v>163</v>
      </c>
      <c r="D365">
        <v>2024</v>
      </c>
      <c r="E365" t="s">
        <v>15</v>
      </c>
      <c r="F365" t="s">
        <v>7</v>
      </c>
      <c r="G365" t="s">
        <v>16</v>
      </c>
      <c r="H365" t="s">
        <v>66</v>
      </c>
      <c r="I365" t="s">
        <v>59</v>
      </c>
      <c r="J365" t="s">
        <v>67</v>
      </c>
      <c r="K365" s="2">
        <v>5</v>
      </c>
      <c r="L365" t="s">
        <v>143</v>
      </c>
      <c r="M365" s="3">
        <v>20</v>
      </c>
      <c r="N365" t="s">
        <v>51</v>
      </c>
      <c r="O365" t="s">
        <v>6</v>
      </c>
      <c r="P365" t="s">
        <v>113</v>
      </c>
      <c r="Q365" t="s">
        <v>144</v>
      </c>
      <c r="R365" s="3">
        <v>100</v>
      </c>
      <c r="S365" s="4">
        <v>5</v>
      </c>
      <c r="T365" t="s">
        <v>145</v>
      </c>
      <c r="U365">
        <v>95</v>
      </c>
      <c r="V365">
        <v>1</v>
      </c>
      <c r="W365"/>
    </row>
    <row r="366" spans="1:23" x14ac:dyDescent="0.3">
      <c r="A366">
        <v>365</v>
      </c>
      <c r="B366" s="1">
        <v>45656</v>
      </c>
      <c r="C366" t="s">
        <v>163</v>
      </c>
      <c r="D366">
        <v>2024</v>
      </c>
      <c r="E366" t="s">
        <v>5</v>
      </c>
      <c r="F366" t="s">
        <v>7</v>
      </c>
      <c r="G366" t="s">
        <v>6</v>
      </c>
      <c r="H366" t="s">
        <v>69</v>
      </c>
      <c r="I366" t="s">
        <v>59</v>
      </c>
      <c r="J366" t="s">
        <v>67</v>
      </c>
      <c r="K366" s="2">
        <v>2</v>
      </c>
      <c r="L366" t="s">
        <v>143</v>
      </c>
      <c r="M366" s="3">
        <v>50</v>
      </c>
      <c r="N366" t="s">
        <v>45</v>
      </c>
      <c r="O366" t="s">
        <v>10</v>
      </c>
      <c r="P366" t="s">
        <v>113</v>
      </c>
      <c r="Q366" t="s">
        <v>144</v>
      </c>
      <c r="R366" s="3">
        <v>100</v>
      </c>
      <c r="S366" s="4">
        <v>0</v>
      </c>
      <c r="T366" t="s">
        <v>145</v>
      </c>
      <c r="U366">
        <v>100</v>
      </c>
      <c r="V366">
        <v>1</v>
      </c>
      <c r="W366"/>
    </row>
    <row r="367" spans="1:23" x14ac:dyDescent="0.3">
      <c r="A367">
        <v>366</v>
      </c>
      <c r="B367" s="1">
        <v>45657</v>
      </c>
      <c r="C367" t="s">
        <v>163</v>
      </c>
      <c r="D367">
        <v>2024</v>
      </c>
      <c r="E367" t="s">
        <v>9</v>
      </c>
      <c r="F367" t="s">
        <v>7</v>
      </c>
      <c r="G367" t="s">
        <v>10</v>
      </c>
      <c r="H367" t="s">
        <v>71</v>
      </c>
      <c r="I367" t="s">
        <v>63</v>
      </c>
      <c r="J367" t="s">
        <v>64</v>
      </c>
      <c r="K367" s="2">
        <v>3</v>
      </c>
      <c r="L367" t="s">
        <v>143</v>
      </c>
      <c r="M367" s="3">
        <v>300</v>
      </c>
      <c r="N367" t="s">
        <v>51</v>
      </c>
      <c r="O367" t="s">
        <v>13</v>
      </c>
      <c r="P367" t="s">
        <v>113</v>
      </c>
      <c r="Q367" t="s">
        <v>146</v>
      </c>
      <c r="R367" s="3">
        <v>900</v>
      </c>
      <c r="S367" s="4">
        <v>36</v>
      </c>
      <c r="T367" t="s">
        <v>145</v>
      </c>
      <c r="U367">
        <v>864</v>
      </c>
      <c r="V367">
        <v>1</v>
      </c>
      <c r="W367"/>
    </row>
    <row r="368" spans="1:23" x14ac:dyDescent="0.3">
      <c r="A368">
        <v>367</v>
      </c>
      <c r="B368" s="1">
        <v>45658</v>
      </c>
      <c r="C368" t="s">
        <v>153</v>
      </c>
      <c r="D368">
        <v>2025</v>
      </c>
      <c r="E368" t="s">
        <v>12</v>
      </c>
      <c r="F368" t="s">
        <v>7</v>
      </c>
      <c r="G368" t="s">
        <v>13</v>
      </c>
      <c r="H368" t="s">
        <v>58</v>
      </c>
      <c r="I368" t="s">
        <v>59</v>
      </c>
      <c r="J368" t="s">
        <v>60</v>
      </c>
      <c r="K368" s="2">
        <v>2</v>
      </c>
      <c r="L368" t="s">
        <v>143</v>
      </c>
      <c r="M368" s="3">
        <v>800</v>
      </c>
      <c r="N368" t="s">
        <v>47</v>
      </c>
      <c r="O368" t="s">
        <v>16</v>
      </c>
      <c r="P368" t="s">
        <v>115</v>
      </c>
      <c r="Q368" t="s">
        <v>144</v>
      </c>
      <c r="R368" s="3">
        <v>1600</v>
      </c>
      <c r="S368" s="4">
        <v>0</v>
      </c>
      <c r="T368" t="s">
        <v>149</v>
      </c>
      <c r="U368">
        <v>1600</v>
      </c>
      <c r="V368">
        <v>1</v>
      </c>
      <c r="W368"/>
    </row>
    <row r="369" spans="1:23" x14ac:dyDescent="0.3">
      <c r="A369">
        <v>368</v>
      </c>
      <c r="B369" s="1">
        <v>45689</v>
      </c>
      <c r="C369" t="s">
        <v>157</v>
      </c>
      <c r="D369">
        <v>2025</v>
      </c>
      <c r="E369" t="s">
        <v>15</v>
      </c>
      <c r="F369" t="s">
        <v>7</v>
      </c>
      <c r="G369" t="s">
        <v>16</v>
      </c>
      <c r="H369" t="s">
        <v>62</v>
      </c>
      <c r="I369" t="s">
        <v>63</v>
      </c>
      <c r="J369" t="s">
        <v>64</v>
      </c>
      <c r="K369" s="2">
        <v>4</v>
      </c>
      <c r="L369" t="s">
        <v>143</v>
      </c>
      <c r="M369" s="3">
        <v>150</v>
      </c>
      <c r="N369" t="s">
        <v>49</v>
      </c>
      <c r="O369" t="s">
        <v>6</v>
      </c>
      <c r="P369" t="s">
        <v>117</v>
      </c>
      <c r="Q369" t="s">
        <v>144</v>
      </c>
      <c r="R369" s="3">
        <v>600</v>
      </c>
      <c r="S369" s="4">
        <v>30</v>
      </c>
      <c r="T369" t="s">
        <v>145</v>
      </c>
      <c r="U369">
        <v>570</v>
      </c>
      <c r="V369">
        <v>1</v>
      </c>
      <c r="W369"/>
    </row>
    <row r="370" spans="1:23" x14ac:dyDescent="0.3">
      <c r="A370">
        <v>369</v>
      </c>
      <c r="B370" s="1">
        <v>45717</v>
      </c>
      <c r="C370" t="s">
        <v>158</v>
      </c>
      <c r="D370">
        <v>2025</v>
      </c>
      <c r="E370" t="s">
        <v>5</v>
      </c>
      <c r="F370" t="s">
        <v>7</v>
      </c>
      <c r="G370" t="s">
        <v>6</v>
      </c>
      <c r="H370" t="s">
        <v>66</v>
      </c>
      <c r="I370" t="s">
        <v>59</v>
      </c>
      <c r="J370" t="s">
        <v>67</v>
      </c>
      <c r="K370" s="2">
        <v>1</v>
      </c>
      <c r="L370" t="s">
        <v>143</v>
      </c>
      <c r="M370" s="3">
        <v>20</v>
      </c>
      <c r="N370" t="s">
        <v>51</v>
      </c>
      <c r="O370" t="s">
        <v>6</v>
      </c>
      <c r="P370" t="s">
        <v>113</v>
      </c>
      <c r="Q370" t="s">
        <v>146</v>
      </c>
      <c r="R370" s="3">
        <v>20</v>
      </c>
      <c r="S370" s="4">
        <v>0</v>
      </c>
      <c r="T370" t="s">
        <v>145</v>
      </c>
      <c r="U370">
        <v>20</v>
      </c>
      <c r="V370">
        <v>1</v>
      </c>
      <c r="W370"/>
    </row>
    <row r="371" spans="1:23" x14ac:dyDescent="0.3">
      <c r="A371">
        <v>370</v>
      </c>
      <c r="B371" s="1">
        <v>45748</v>
      </c>
      <c r="C371" t="s">
        <v>156</v>
      </c>
      <c r="D371">
        <v>2025</v>
      </c>
      <c r="E371" t="s">
        <v>9</v>
      </c>
      <c r="F371" t="s">
        <v>7</v>
      </c>
      <c r="G371" t="s">
        <v>10</v>
      </c>
      <c r="H371" t="s">
        <v>69</v>
      </c>
      <c r="I371" t="s">
        <v>59</v>
      </c>
      <c r="J371" t="s">
        <v>67</v>
      </c>
      <c r="K371" s="2">
        <v>5</v>
      </c>
      <c r="L371" t="s">
        <v>143</v>
      </c>
      <c r="M371" s="3">
        <v>50</v>
      </c>
      <c r="N371" t="s">
        <v>45</v>
      </c>
      <c r="O371" t="s">
        <v>6</v>
      </c>
      <c r="P371" t="s">
        <v>113</v>
      </c>
      <c r="Q371" t="s">
        <v>144</v>
      </c>
      <c r="R371" s="3">
        <v>250</v>
      </c>
      <c r="S371" s="4">
        <v>12.5</v>
      </c>
      <c r="T371" t="s">
        <v>145</v>
      </c>
      <c r="U371">
        <v>237.5</v>
      </c>
      <c r="V371">
        <v>1</v>
      </c>
      <c r="W371"/>
    </row>
    <row r="372" spans="1:23" x14ac:dyDescent="0.3">
      <c r="A372">
        <v>371</v>
      </c>
      <c r="B372" s="1">
        <v>45778</v>
      </c>
      <c r="C372" t="s">
        <v>159</v>
      </c>
      <c r="D372">
        <v>2025</v>
      </c>
      <c r="E372" t="s">
        <v>12</v>
      </c>
      <c r="F372" t="s">
        <v>7</v>
      </c>
      <c r="G372" t="s">
        <v>13</v>
      </c>
      <c r="H372" t="s">
        <v>71</v>
      </c>
      <c r="I372" t="s">
        <v>63</v>
      </c>
      <c r="J372" t="s">
        <v>64</v>
      </c>
      <c r="K372" s="2">
        <v>2</v>
      </c>
      <c r="L372" t="s">
        <v>143</v>
      </c>
      <c r="M372" s="3">
        <v>300</v>
      </c>
      <c r="N372" t="s">
        <v>51</v>
      </c>
      <c r="O372" t="s">
        <v>10</v>
      </c>
      <c r="P372" t="s">
        <v>113</v>
      </c>
      <c r="Q372" t="s">
        <v>144</v>
      </c>
      <c r="R372" s="3">
        <v>600</v>
      </c>
      <c r="S372" s="4">
        <v>0</v>
      </c>
      <c r="T372" t="s">
        <v>145</v>
      </c>
      <c r="U372">
        <v>600</v>
      </c>
      <c r="V372">
        <v>1</v>
      </c>
      <c r="W372"/>
    </row>
    <row r="373" spans="1:23" x14ac:dyDescent="0.3">
      <c r="A373">
        <v>372</v>
      </c>
      <c r="B373" s="1">
        <v>45809</v>
      </c>
      <c r="C373" t="s">
        <v>164</v>
      </c>
      <c r="D373">
        <v>2025</v>
      </c>
      <c r="E373" t="s">
        <v>15</v>
      </c>
      <c r="F373" t="s">
        <v>7</v>
      </c>
      <c r="G373" t="s">
        <v>16</v>
      </c>
      <c r="H373" t="s">
        <v>58</v>
      </c>
      <c r="I373" t="s">
        <v>59</v>
      </c>
      <c r="J373" t="s">
        <v>60</v>
      </c>
      <c r="K373" s="2">
        <v>3</v>
      </c>
      <c r="L373" t="s">
        <v>143</v>
      </c>
      <c r="M373" s="3">
        <v>800</v>
      </c>
      <c r="N373" t="s">
        <v>47</v>
      </c>
      <c r="O373" t="s">
        <v>13</v>
      </c>
      <c r="P373" t="s">
        <v>115</v>
      </c>
      <c r="Q373" t="s">
        <v>146</v>
      </c>
      <c r="R373" s="3">
        <v>2400</v>
      </c>
      <c r="S373" s="4">
        <v>96</v>
      </c>
      <c r="T373" t="s">
        <v>150</v>
      </c>
      <c r="U373">
        <v>2304</v>
      </c>
      <c r="V373">
        <v>1</v>
      </c>
      <c r="W373"/>
    </row>
    <row r="374" spans="1:23" x14ac:dyDescent="0.3">
      <c r="A374">
        <v>373</v>
      </c>
      <c r="B374" s="1">
        <v>45839</v>
      </c>
      <c r="C374" t="s">
        <v>160</v>
      </c>
      <c r="D374">
        <v>2025</v>
      </c>
      <c r="E374" t="s">
        <v>5</v>
      </c>
      <c r="F374" t="s">
        <v>7</v>
      </c>
      <c r="G374" t="s">
        <v>6</v>
      </c>
      <c r="H374" t="s">
        <v>62</v>
      </c>
      <c r="I374" t="s">
        <v>63</v>
      </c>
      <c r="J374" t="s">
        <v>64</v>
      </c>
      <c r="K374" s="2">
        <v>1</v>
      </c>
      <c r="L374" t="s">
        <v>143</v>
      </c>
      <c r="M374" s="3">
        <v>150</v>
      </c>
      <c r="N374" t="s">
        <v>49</v>
      </c>
      <c r="O374" t="s">
        <v>16</v>
      </c>
      <c r="P374" t="s">
        <v>117</v>
      </c>
      <c r="Q374" t="s">
        <v>144</v>
      </c>
      <c r="R374" s="3">
        <v>150</v>
      </c>
      <c r="S374" s="4">
        <v>0</v>
      </c>
      <c r="T374" t="s">
        <v>145</v>
      </c>
      <c r="U374">
        <v>150</v>
      </c>
      <c r="V374">
        <v>1</v>
      </c>
      <c r="W374"/>
    </row>
    <row r="375" spans="1:23" x14ac:dyDescent="0.3">
      <c r="A375">
        <v>374</v>
      </c>
      <c r="B375" s="1">
        <v>45870</v>
      </c>
      <c r="C375" t="s">
        <v>154</v>
      </c>
      <c r="D375">
        <v>2025</v>
      </c>
      <c r="E375" t="s">
        <v>9</v>
      </c>
      <c r="F375" t="s">
        <v>7</v>
      </c>
      <c r="G375" t="s">
        <v>10</v>
      </c>
      <c r="H375" t="s">
        <v>66</v>
      </c>
      <c r="I375" t="s">
        <v>59</v>
      </c>
      <c r="J375" t="s">
        <v>67</v>
      </c>
      <c r="K375" s="2">
        <v>4</v>
      </c>
      <c r="L375" t="s">
        <v>143</v>
      </c>
      <c r="M375" s="3">
        <v>20</v>
      </c>
      <c r="N375" t="s">
        <v>51</v>
      </c>
      <c r="O375" t="s">
        <v>6</v>
      </c>
      <c r="P375" t="s">
        <v>113</v>
      </c>
      <c r="Q375" t="s">
        <v>144</v>
      </c>
      <c r="R375" s="3">
        <v>80</v>
      </c>
      <c r="S375" s="4">
        <v>4</v>
      </c>
      <c r="T375" t="s">
        <v>145</v>
      </c>
      <c r="U375">
        <v>76</v>
      </c>
      <c r="V375">
        <v>1</v>
      </c>
      <c r="W375"/>
    </row>
    <row r="376" spans="1:23" x14ac:dyDescent="0.3">
      <c r="A376">
        <v>375</v>
      </c>
      <c r="B376" s="1">
        <v>45901</v>
      </c>
      <c r="C376" t="s">
        <v>161</v>
      </c>
      <c r="D376">
        <v>2025</v>
      </c>
      <c r="E376" t="s">
        <v>12</v>
      </c>
      <c r="F376" t="s">
        <v>7</v>
      </c>
      <c r="G376" t="s">
        <v>13</v>
      </c>
      <c r="H376" t="s">
        <v>69</v>
      </c>
      <c r="I376" t="s">
        <v>59</v>
      </c>
      <c r="J376" t="s">
        <v>67</v>
      </c>
      <c r="K376" s="2">
        <v>2</v>
      </c>
      <c r="L376" t="s">
        <v>143</v>
      </c>
      <c r="M376" s="3">
        <v>50</v>
      </c>
      <c r="N376" t="s">
        <v>45</v>
      </c>
      <c r="O376" t="s">
        <v>6</v>
      </c>
      <c r="P376" t="s">
        <v>113</v>
      </c>
      <c r="Q376" t="s">
        <v>146</v>
      </c>
      <c r="R376" s="3">
        <v>100</v>
      </c>
      <c r="S376" s="4">
        <v>5</v>
      </c>
      <c r="T376" t="s">
        <v>145</v>
      </c>
      <c r="U376">
        <v>95</v>
      </c>
      <c r="V376">
        <v>1</v>
      </c>
      <c r="W376"/>
    </row>
    <row r="377" spans="1:23" x14ac:dyDescent="0.3">
      <c r="A377">
        <v>376</v>
      </c>
      <c r="B377" s="1">
        <v>45931</v>
      </c>
      <c r="C377" t="s">
        <v>155</v>
      </c>
      <c r="D377">
        <v>2025</v>
      </c>
      <c r="E377" t="s">
        <v>15</v>
      </c>
      <c r="F377" t="s">
        <v>7</v>
      </c>
      <c r="G377" t="s">
        <v>16</v>
      </c>
      <c r="H377" t="s">
        <v>71</v>
      </c>
      <c r="I377" t="s">
        <v>63</v>
      </c>
      <c r="J377" t="s">
        <v>64</v>
      </c>
      <c r="K377" s="2">
        <v>5</v>
      </c>
      <c r="L377" t="s">
        <v>143</v>
      </c>
      <c r="M377" s="3">
        <v>300</v>
      </c>
      <c r="N377" t="s">
        <v>51</v>
      </c>
      <c r="O377" t="s">
        <v>13</v>
      </c>
      <c r="P377" t="s">
        <v>113</v>
      </c>
      <c r="Q377" t="s">
        <v>144</v>
      </c>
      <c r="R377" s="3">
        <v>1500</v>
      </c>
      <c r="S377" s="4">
        <v>60</v>
      </c>
      <c r="T377" t="s">
        <v>149</v>
      </c>
      <c r="U377">
        <v>1440</v>
      </c>
      <c r="V377">
        <v>1</v>
      </c>
      <c r="W377"/>
    </row>
    <row r="378" spans="1:23" x14ac:dyDescent="0.3">
      <c r="A378">
        <v>377</v>
      </c>
      <c r="B378" s="1">
        <v>45962</v>
      </c>
      <c r="C378" t="s">
        <v>162</v>
      </c>
      <c r="D378">
        <v>2025</v>
      </c>
      <c r="E378" t="s">
        <v>5</v>
      </c>
      <c r="F378" t="s">
        <v>7</v>
      </c>
      <c r="G378" t="s">
        <v>6</v>
      </c>
      <c r="H378" t="s">
        <v>58</v>
      </c>
      <c r="I378" t="s">
        <v>59</v>
      </c>
      <c r="J378" t="s">
        <v>60</v>
      </c>
      <c r="K378" s="2">
        <v>2</v>
      </c>
      <c r="L378" t="s">
        <v>143</v>
      </c>
      <c r="M378" s="3">
        <v>800</v>
      </c>
      <c r="N378" t="s">
        <v>47</v>
      </c>
      <c r="O378" t="s">
        <v>10</v>
      </c>
      <c r="P378" t="s">
        <v>115</v>
      </c>
      <c r="Q378" t="s">
        <v>146</v>
      </c>
      <c r="R378" s="3">
        <v>1600</v>
      </c>
      <c r="S378" s="4">
        <v>0</v>
      </c>
      <c r="T378" t="s">
        <v>149</v>
      </c>
      <c r="U378">
        <v>1600</v>
      </c>
      <c r="V378">
        <v>1</v>
      </c>
      <c r="W378"/>
    </row>
    <row r="379" spans="1:23" x14ac:dyDescent="0.3">
      <c r="A379">
        <v>378</v>
      </c>
      <c r="B379" s="1">
        <v>45992</v>
      </c>
      <c r="C379" t="s">
        <v>163</v>
      </c>
      <c r="D379">
        <v>2025</v>
      </c>
      <c r="E379" t="s">
        <v>9</v>
      </c>
      <c r="F379" t="s">
        <v>7</v>
      </c>
      <c r="G379" t="s">
        <v>10</v>
      </c>
      <c r="H379" t="s">
        <v>62</v>
      </c>
      <c r="I379" t="s">
        <v>63</v>
      </c>
      <c r="J379" t="s">
        <v>64</v>
      </c>
      <c r="K379" s="2">
        <v>3</v>
      </c>
      <c r="L379" t="s">
        <v>143</v>
      </c>
      <c r="M379" s="3">
        <v>150</v>
      </c>
      <c r="N379" t="s">
        <v>49</v>
      </c>
      <c r="O379" t="s">
        <v>6</v>
      </c>
      <c r="P379" t="s">
        <v>117</v>
      </c>
      <c r="Q379" t="s">
        <v>144</v>
      </c>
      <c r="R379" s="3">
        <v>450</v>
      </c>
      <c r="S379" s="4">
        <v>22.5</v>
      </c>
      <c r="T379" t="s">
        <v>145</v>
      </c>
      <c r="U379">
        <v>427.5</v>
      </c>
      <c r="V379">
        <v>1</v>
      </c>
      <c r="W379"/>
    </row>
    <row r="380" spans="1:23" x14ac:dyDescent="0.3">
      <c r="A380">
        <v>379</v>
      </c>
      <c r="B380" s="1">
        <v>45670</v>
      </c>
      <c r="C380" t="s">
        <v>153</v>
      </c>
      <c r="D380">
        <v>2025</v>
      </c>
      <c r="E380" t="s">
        <v>12</v>
      </c>
      <c r="F380" t="s">
        <v>7</v>
      </c>
      <c r="G380" t="s">
        <v>13</v>
      </c>
      <c r="H380" t="s">
        <v>66</v>
      </c>
      <c r="I380" t="s">
        <v>59</v>
      </c>
      <c r="J380" t="s">
        <v>67</v>
      </c>
      <c r="K380" s="2">
        <v>1</v>
      </c>
      <c r="L380" t="s">
        <v>143</v>
      </c>
      <c r="M380" s="3">
        <v>20</v>
      </c>
      <c r="N380" t="s">
        <v>51</v>
      </c>
      <c r="O380" t="s">
        <v>6</v>
      </c>
      <c r="P380" t="s">
        <v>113</v>
      </c>
      <c r="Q380" t="s">
        <v>144</v>
      </c>
      <c r="R380" s="3">
        <v>20</v>
      </c>
      <c r="S380" s="4">
        <v>0</v>
      </c>
      <c r="T380" t="s">
        <v>145</v>
      </c>
      <c r="U380">
        <v>20</v>
      </c>
      <c r="V380">
        <v>1</v>
      </c>
      <c r="W380"/>
    </row>
    <row r="381" spans="1:23" x14ac:dyDescent="0.3">
      <c r="A381">
        <v>380</v>
      </c>
      <c r="B381" s="1">
        <v>45671</v>
      </c>
      <c r="C381" t="s">
        <v>153</v>
      </c>
      <c r="D381">
        <v>2025</v>
      </c>
      <c r="E381" t="s">
        <v>15</v>
      </c>
      <c r="F381" t="s">
        <v>7</v>
      </c>
      <c r="G381" t="s">
        <v>16</v>
      </c>
      <c r="H381" t="s">
        <v>69</v>
      </c>
      <c r="I381" t="s">
        <v>59</v>
      </c>
      <c r="J381" t="s">
        <v>67</v>
      </c>
      <c r="K381" s="2">
        <v>2</v>
      </c>
      <c r="L381" t="s">
        <v>143</v>
      </c>
      <c r="M381" s="3">
        <v>50</v>
      </c>
      <c r="N381" t="s">
        <v>45</v>
      </c>
      <c r="O381" t="s">
        <v>13</v>
      </c>
      <c r="P381" t="s">
        <v>113</v>
      </c>
      <c r="Q381" t="s">
        <v>146</v>
      </c>
      <c r="R381" s="3">
        <v>100</v>
      </c>
      <c r="S381" s="4">
        <v>4</v>
      </c>
      <c r="T381" t="s">
        <v>145</v>
      </c>
      <c r="U381">
        <v>96</v>
      </c>
      <c r="V381">
        <v>1</v>
      </c>
      <c r="W381"/>
    </row>
    <row r="382" spans="1:23" x14ac:dyDescent="0.3">
      <c r="A382">
        <v>381</v>
      </c>
      <c r="B382" s="1">
        <v>45672</v>
      </c>
      <c r="C382" t="s">
        <v>153</v>
      </c>
      <c r="D382">
        <v>2025</v>
      </c>
      <c r="E382" t="s">
        <v>5</v>
      </c>
      <c r="F382" t="s">
        <v>7</v>
      </c>
      <c r="G382" t="s">
        <v>6</v>
      </c>
      <c r="H382" t="s">
        <v>71</v>
      </c>
      <c r="I382" t="s">
        <v>63</v>
      </c>
      <c r="J382" t="s">
        <v>64</v>
      </c>
      <c r="K382" s="2">
        <v>4</v>
      </c>
      <c r="L382" t="s">
        <v>143</v>
      </c>
      <c r="M382" s="3">
        <v>300</v>
      </c>
      <c r="N382" t="s">
        <v>51</v>
      </c>
      <c r="O382" t="s">
        <v>16</v>
      </c>
      <c r="P382" t="s">
        <v>113</v>
      </c>
      <c r="Q382" t="s">
        <v>144</v>
      </c>
      <c r="R382" s="3">
        <v>1200</v>
      </c>
      <c r="S382" s="4">
        <v>72</v>
      </c>
      <c r="T382" t="s">
        <v>149</v>
      </c>
      <c r="U382">
        <v>1128</v>
      </c>
      <c r="V382">
        <v>1</v>
      </c>
      <c r="W382"/>
    </row>
    <row r="383" spans="1:23" x14ac:dyDescent="0.3">
      <c r="A383">
        <v>382</v>
      </c>
      <c r="B383" s="1">
        <v>45673</v>
      </c>
      <c r="C383" t="s">
        <v>153</v>
      </c>
      <c r="D383">
        <v>2025</v>
      </c>
      <c r="E383" t="s">
        <v>9</v>
      </c>
      <c r="F383" t="s">
        <v>7</v>
      </c>
      <c r="G383" t="s">
        <v>10</v>
      </c>
      <c r="H383" t="s">
        <v>58</v>
      </c>
      <c r="I383" t="s">
        <v>59</v>
      </c>
      <c r="J383" t="s">
        <v>60</v>
      </c>
      <c r="K383" s="2"/>
      <c r="L383" t="s">
        <v>147</v>
      </c>
      <c r="M383" s="3">
        <v>800</v>
      </c>
      <c r="N383" t="s">
        <v>47</v>
      </c>
      <c r="O383" t="s">
        <v>6</v>
      </c>
      <c r="P383" t="s">
        <v>115</v>
      </c>
      <c r="Q383" t="s">
        <v>146</v>
      </c>
      <c r="R383" s="3"/>
      <c r="S383" s="4"/>
      <c r="V383">
        <v>1</v>
      </c>
      <c r="W383"/>
    </row>
    <row r="384" spans="1:23" x14ac:dyDescent="0.3">
      <c r="A384">
        <v>383</v>
      </c>
      <c r="B384" s="1">
        <v>45674</v>
      </c>
      <c r="C384" t="s">
        <v>153</v>
      </c>
      <c r="D384">
        <v>2025</v>
      </c>
      <c r="E384" t="s">
        <v>12</v>
      </c>
      <c r="F384" t="s">
        <v>7</v>
      </c>
      <c r="G384" t="s">
        <v>13</v>
      </c>
      <c r="H384" t="s">
        <v>62</v>
      </c>
      <c r="I384" t="s">
        <v>63</v>
      </c>
      <c r="J384" t="s">
        <v>64</v>
      </c>
      <c r="K384" s="2">
        <v>2</v>
      </c>
      <c r="L384" t="s">
        <v>143</v>
      </c>
      <c r="M384" s="3">
        <v>150</v>
      </c>
      <c r="N384" t="s">
        <v>49</v>
      </c>
      <c r="O384" t="s">
        <v>6</v>
      </c>
      <c r="P384" t="s">
        <v>117</v>
      </c>
      <c r="Q384" t="s">
        <v>144</v>
      </c>
      <c r="R384" s="3">
        <v>300</v>
      </c>
      <c r="S384" s="4">
        <v>15</v>
      </c>
      <c r="T384" t="s">
        <v>145</v>
      </c>
      <c r="U384">
        <v>285</v>
      </c>
      <c r="V384">
        <v>1</v>
      </c>
      <c r="W384"/>
    </row>
    <row r="385" spans="1:23" x14ac:dyDescent="0.3">
      <c r="A385">
        <v>384</v>
      </c>
      <c r="B385" s="1">
        <v>45675</v>
      </c>
      <c r="C385" t="s">
        <v>153</v>
      </c>
      <c r="D385">
        <v>2025</v>
      </c>
      <c r="E385" t="s">
        <v>15</v>
      </c>
      <c r="F385" t="s">
        <v>7</v>
      </c>
      <c r="G385" t="s">
        <v>16</v>
      </c>
      <c r="H385" t="s">
        <v>66</v>
      </c>
      <c r="I385" t="s">
        <v>59</v>
      </c>
      <c r="J385" t="s">
        <v>67</v>
      </c>
      <c r="K385" s="2">
        <v>5</v>
      </c>
      <c r="L385" t="s">
        <v>143</v>
      </c>
      <c r="M385" s="3">
        <v>20</v>
      </c>
      <c r="N385" t="s">
        <v>51</v>
      </c>
      <c r="O385" t="s">
        <v>6</v>
      </c>
      <c r="P385" t="s">
        <v>113</v>
      </c>
      <c r="Q385" t="s">
        <v>144</v>
      </c>
      <c r="R385" s="3">
        <v>100</v>
      </c>
      <c r="S385" s="4">
        <v>5</v>
      </c>
      <c r="T385" t="s">
        <v>145</v>
      </c>
      <c r="U385">
        <v>95</v>
      </c>
      <c r="V385">
        <v>1</v>
      </c>
      <c r="W385"/>
    </row>
    <row r="386" spans="1:23" x14ac:dyDescent="0.3">
      <c r="A386">
        <v>385</v>
      </c>
      <c r="B386" s="1">
        <v>45676</v>
      </c>
      <c r="C386" t="s">
        <v>153</v>
      </c>
      <c r="D386">
        <v>2025</v>
      </c>
      <c r="E386" t="s">
        <v>5</v>
      </c>
      <c r="F386" t="s">
        <v>7</v>
      </c>
      <c r="G386" t="s">
        <v>6</v>
      </c>
      <c r="H386" t="s">
        <v>69</v>
      </c>
      <c r="I386" t="s">
        <v>59</v>
      </c>
      <c r="J386" t="s">
        <v>67</v>
      </c>
      <c r="K386" s="2">
        <v>2</v>
      </c>
      <c r="L386" t="s">
        <v>143</v>
      </c>
      <c r="M386" s="3">
        <v>50</v>
      </c>
      <c r="N386" t="s">
        <v>45</v>
      </c>
      <c r="O386" t="s">
        <v>10</v>
      </c>
      <c r="P386" t="s">
        <v>113</v>
      </c>
      <c r="Q386" t="s">
        <v>146</v>
      </c>
      <c r="R386" s="3">
        <v>100</v>
      </c>
      <c r="S386" s="4">
        <v>0</v>
      </c>
      <c r="T386" t="s">
        <v>145</v>
      </c>
      <c r="U386">
        <v>100</v>
      </c>
      <c r="V386">
        <v>1</v>
      </c>
      <c r="W386"/>
    </row>
    <row r="387" spans="1:23" x14ac:dyDescent="0.3">
      <c r="A387">
        <v>386</v>
      </c>
      <c r="B387" s="1">
        <v>45677</v>
      </c>
      <c r="C387" t="s">
        <v>153</v>
      </c>
      <c r="D387">
        <v>2025</v>
      </c>
      <c r="E387" t="s">
        <v>9</v>
      </c>
      <c r="F387" t="s">
        <v>7</v>
      </c>
      <c r="G387" t="s">
        <v>10</v>
      </c>
      <c r="H387" t="s">
        <v>71</v>
      </c>
      <c r="I387" t="s">
        <v>63</v>
      </c>
      <c r="J387" t="s">
        <v>64</v>
      </c>
      <c r="K387" s="2">
        <v>3</v>
      </c>
      <c r="L387" t="s">
        <v>143</v>
      </c>
      <c r="M387" s="3">
        <v>300</v>
      </c>
      <c r="N387" t="s">
        <v>51</v>
      </c>
      <c r="O387" t="s">
        <v>13</v>
      </c>
      <c r="P387" t="s">
        <v>113</v>
      </c>
      <c r="Q387" t="s">
        <v>144</v>
      </c>
      <c r="R387" s="3">
        <v>900</v>
      </c>
      <c r="S387" s="4">
        <v>36</v>
      </c>
      <c r="T387" t="s">
        <v>145</v>
      </c>
      <c r="U387">
        <v>864</v>
      </c>
      <c r="V387">
        <v>1</v>
      </c>
      <c r="W387"/>
    </row>
    <row r="388" spans="1:23" x14ac:dyDescent="0.3">
      <c r="A388">
        <v>387</v>
      </c>
      <c r="B388" s="1">
        <v>45678</v>
      </c>
      <c r="C388" t="s">
        <v>153</v>
      </c>
      <c r="D388">
        <v>2025</v>
      </c>
      <c r="E388" t="s">
        <v>12</v>
      </c>
      <c r="F388" t="s">
        <v>7</v>
      </c>
      <c r="G388" t="s">
        <v>13</v>
      </c>
      <c r="H388" t="s">
        <v>58</v>
      </c>
      <c r="I388" t="s">
        <v>59</v>
      </c>
      <c r="J388" t="s">
        <v>60</v>
      </c>
      <c r="K388" s="2">
        <v>2</v>
      </c>
      <c r="L388" t="s">
        <v>143</v>
      </c>
      <c r="M388" s="3">
        <v>800</v>
      </c>
      <c r="N388" t="s">
        <v>47</v>
      </c>
      <c r="O388" t="s">
        <v>16</v>
      </c>
      <c r="P388" t="s">
        <v>115</v>
      </c>
      <c r="Q388" t="s">
        <v>144</v>
      </c>
      <c r="R388" s="3">
        <v>1600</v>
      </c>
      <c r="S388" s="4">
        <v>0</v>
      </c>
      <c r="T388" t="s">
        <v>149</v>
      </c>
      <c r="U388">
        <v>1600</v>
      </c>
      <c r="V388">
        <v>1</v>
      </c>
      <c r="W388"/>
    </row>
    <row r="389" spans="1:23" x14ac:dyDescent="0.3">
      <c r="A389">
        <v>388</v>
      </c>
      <c r="B389" s="1">
        <v>45679</v>
      </c>
      <c r="C389" t="s">
        <v>153</v>
      </c>
      <c r="D389">
        <v>2025</v>
      </c>
      <c r="E389" t="s">
        <v>15</v>
      </c>
      <c r="F389" t="s">
        <v>7</v>
      </c>
      <c r="G389" t="s">
        <v>16</v>
      </c>
      <c r="H389" t="s">
        <v>62</v>
      </c>
      <c r="I389" t="s">
        <v>63</v>
      </c>
      <c r="J389" t="s">
        <v>64</v>
      </c>
      <c r="K389" s="2">
        <v>1</v>
      </c>
      <c r="L389" t="s">
        <v>143</v>
      </c>
      <c r="M389" s="3">
        <v>150</v>
      </c>
      <c r="N389" t="s">
        <v>49</v>
      </c>
      <c r="O389" t="s">
        <v>6</v>
      </c>
      <c r="P389" t="s">
        <v>117</v>
      </c>
      <c r="Q389" t="s">
        <v>146</v>
      </c>
      <c r="R389" s="3">
        <v>150</v>
      </c>
      <c r="S389" s="4">
        <v>0</v>
      </c>
      <c r="T389" t="s">
        <v>145</v>
      </c>
      <c r="U389">
        <v>150</v>
      </c>
      <c r="V389">
        <v>1</v>
      </c>
      <c r="W389"/>
    </row>
    <row r="390" spans="1:23" x14ac:dyDescent="0.3">
      <c r="A390">
        <v>389</v>
      </c>
      <c r="B390" s="1">
        <v>45680</v>
      </c>
      <c r="C390" t="s">
        <v>153</v>
      </c>
      <c r="D390">
        <v>2025</v>
      </c>
      <c r="E390" t="s">
        <v>5</v>
      </c>
      <c r="F390" t="s">
        <v>7</v>
      </c>
      <c r="G390" t="s">
        <v>6</v>
      </c>
      <c r="H390" t="s">
        <v>66</v>
      </c>
      <c r="I390" t="s">
        <v>59</v>
      </c>
      <c r="J390" t="s">
        <v>67</v>
      </c>
      <c r="K390" s="2">
        <v>4</v>
      </c>
      <c r="L390" t="s">
        <v>143</v>
      </c>
      <c r="M390" s="3">
        <v>20</v>
      </c>
      <c r="N390" t="s">
        <v>51</v>
      </c>
      <c r="O390" t="s">
        <v>6</v>
      </c>
      <c r="P390" t="s">
        <v>113</v>
      </c>
      <c r="Q390" t="s">
        <v>144</v>
      </c>
      <c r="R390" s="3">
        <v>80</v>
      </c>
      <c r="S390" s="4">
        <v>4</v>
      </c>
      <c r="T390" t="s">
        <v>145</v>
      </c>
      <c r="U390">
        <v>76</v>
      </c>
      <c r="V390">
        <v>1</v>
      </c>
      <c r="W390"/>
    </row>
    <row r="391" spans="1:23" x14ac:dyDescent="0.3">
      <c r="A391">
        <v>390</v>
      </c>
      <c r="B391" s="1">
        <v>45681</v>
      </c>
      <c r="C391" t="s">
        <v>153</v>
      </c>
      <c r="D391">
        <v>2025</v>
      </c>
      <c r="E391" t="s">
        <v>9</v>
      </c>
      <c r="F391" t="s">
        <v>7</v>
      </c>
      <c r="G391" t="s">
        <v>10</v>
      </c>
      <c r="H391" t="s">
        <v>69</v>
      </c>
      <c r="I391" t="s">
        <v>59</v>
      </c>
      <c r="J391" t="s">
        <v>67</v>
      </c>
      <c r="K391" s="2">
        <v>2</v>
      </c>
      <c r="L391" t="s">
        <v>143</v>
      </c>
      <c r="M391" s="3">
        <v>50</v>
      </c>
      <c r="N391" t="s">
        <v>45</v>
      </c>
      <c r="O391" t="s">
        <v>10</v>
      </c>
      <c r="P391" t="s">
        <v>113</v>
      </c>
      <c r="Q391" t="s">
        <v>144</v>
      </c>
      <c r="R391" s="3">
        <v>100</v>
      </c>
      <c r="S391" s="4">
        <v>0</v>
      </c>
      <c r="T391" t="s">
        <v>145</v>
      </c>
      <c r="U391">
        <v>100</v>
      </c>
      <c r="V391">
        <v>1</v>
      </c>
      <c r="W391"/>
    </row>
    <row r="392" spans="1:23" x14ac:dyDescent="0.3">
      <c r="A392">
        <v>391</v>
      </c>
      <c r="B392" s="1">
        <v>45682</v>
      </c>
      <c r="C392" t="s">
        <v>153</v>
      </c>
      <c r="D392">
        <v>2025</v>
      </c>
      <c r="E392" t="s">
        <v>12</v>
      </c>
      <c r="F392" t="s">
        <v>7</v>
      </c>
      <c r="G392" t="s">
        <v>13</v>
      </c>
      <c r="H392" t="s">
        <v>71</v>
      </c>
      <c r="I392" t="s">
        <v>63</v>
      </c>
      <c r="J392" t="s">
        <v>64</v>
      </c>
      <c r="K392" s="2">
        <v>5</v>
      </c>
      <c r="L392" t="s">
        <v>143</v>
      </c>
      <c r="M392" s="3">
        <v>300</v>
      </c>
      <c r="N392" t="s">
        <v>51</v>
      </c>
      <c r="O392" t="s">
        <v>13</v>
      </c>
      <c r="P392" t="s">
        <v>113</v>
      </c>
      <c r="Q392" t="s">
        <v>146</v>
      </c>
      <c r="R392" s="3">
        <v>1500</v>
      </c>
      <c r="S392" s="4">
        <v>60</v>
      </c>
      <c r="T392" t="s">
        <v>149</v>
      </c>
      <c r="U392">
        <v>1440</v>
      </c>
      <c r="V392">
        <v>1</v>
      </c>
      <c r="W392"/>
    </row>
    <row r="393" spans="1:23" x14ac:dyDescent="0.3">
      <c r="A393">
        <v>392</v>
      </c>
      <c r="B393" s="1">
        <v>45683</v>
      </c>
      <c r="C393" t="s">
        <v>153</v>
      </c>
      <c r="D393">
        <v>2025</v>
      </c>
      <c r="E393" t="s">
        <v>15</v>
      </c>
      <c r="F393" t="s">
        <v>7</v>
      </c>
      <c r="G393" t="s">
        <v>16</v>
      </c>
      <c r="H393" t="s">
        <v>58</v>
      </c>
      <c r="I393" t="s">
        <v>59</v>
      </c>
      <c r="J393" t="s">
        <v>60</v>
      </c>
      <c r="K393" s="2">
        <v>3</v>
      </c>
      <c r="L393" t="s">
        <v>143</v>
      </c>
      <c r="M393" s="3">
        <v>800</v>
      </c>
      <c r="N393" t="s">
        <v>47</v>
      </c>
      <c r="O393" t="s">
        <v>16</v>
      </c>
      <c r="P393" t="s">
        <v>115</v>
      </c>
      <c r="Q393" t="s">
        <v>144</v>
      </c>
      <c r="R393" s="3">
        <v>2400</v>
      </c>
      <c r="S393" s="4">
        <v>144</v>
      </c>
      <c r="T393" t="s">
        <v>150</v>
      </c>
      <c r="U393">
        <v>2256</v>
      </c>
      <c r="V393">
        <v>1</v>
      </c>
      <c r="W393"/>
    </row>
    <row r="394" spans="1:23" x14ac:dyDescent="0.3">
      <c r="A394">
        <v>393</v>
      </c>
      <c r="B394" s="1">
        <v>45684</v>
      </c>
      <c r="C394" t="s">
        <v>153</v>
      </c>
      <c r="D394">
        <v>2025</v>
      </c>
      <c r="E394" t="s">
        <v>5</v>
      </c>
      <c r="F394" t="s">
        <v>7</v>
      </c>
      <c r="G394" t="s">
        <v>6</v>
      </c>
      <c r="H394" t="s">
        <v>62</v>
      </c>
      <c r="I394" t="s">
        <v>63</v>
      </c>
      <c r="J394" t="s">
        <v>64</v>
      </c>
      <c r="K394" s="2">
        <v>2</v>
      </c>
      <c r="L394" t="s">
        <v>143</v>
      </c>
      <c r="M394" s="3">
        <v>150</v>
      </c>
      <c r="N394" t="s">
        <v>49</v>
      </c>
      <c r="O394" t="s">
        <v>6</v>
      </c>
      <c r="P394" t="s">
        <v>117</v>
      </c>
      <c r="Q394" t="s">
        <v>144</v>
      </c>
      <c r="R394" s="3">
        <v>300</v>
      </c>
      <c r="S394" s="4">
        <v>15</v>
      </c>
      <c r="T394" t="s">
        <v>145</v>
      </c>
      <c r="U394">
        <v>285</v>
      </c>
      <c r="V394">
        <v>1</v>
      </c>
      <c r="W394"/>
    </row>
    <row r="395" spans="1:23" x14ac:dyDescent="0.3">
      <c r="A395">
        <v>394</v>
      </c>
      <c r="B395" s="1">
        <v>45685</v>
      </c>
      <c r="C395" t="s">
        <v>153</v>
      </c>
      <c r="D395">
        <v>2025</v>
      </c>
      <c r="E395" t="s">
        <v>9</v>
      </c>
      <c r="F395" t="s">
        <v>7</v>
      </c>
      <c r="G395" t="s">
        <v>10</v>
      </c>
      <c r="H395" t="s">
        <v>66</v>
      </c>
      <c r="I395" t="s">
        <v>59</v>
      </c>
      <c r="J395" t="s">
        <v>67</v>
      </c>
      <c r="K395" s="2">
        <v>1</v>
      </c>
      <c r="L395" t="s">
        <v>143</v>
      </c>
      <c r="M395" s="3">
        <v>20</v>
      </c>
      <c r="N395" t="s">
        <v>51</v>
      </c>
      <c r="O395" t="s">
        <v>6</v>
      </c>
      <c r="P395" t="s">
        <v>113</v>
      </c>
      <c r="Q395" t="s">
        <v>146</v>
      </c>
      <c r="R395" s="3">
        <v>20</v>
      </c>
      <c r="S395" s="4">
        <v>0</v>
      </c>
      <c r="T395" t="s">
        <v>145</v>
      </c>
      <c r="U395">
        <v>20</v>
      </c>
      <c r="V395">
        <v>1</v>
      </c>
      <c r="W395"/>
    </row>
    <row r="396" spans="1:23" x14ac:dyDescent="0.3">
      <c r="A396">
        <v>395</v>
      </c>
      <c r="B396" s="1">
        <v>45686</v>
      </c>
      <c r="C396" t="s">
        <v>153</v>
      </c>
      <c r="D396">
        <v>2025</v>
      </c>
      <c r="E396" t="s">
        <v>12</v>
      </c>
      <c r="F396" t="s">
        <v>7</v>
      </c>
      <c r="G396" t="s">
        <v>13</v>
      </c>
      <c r="H396" t="s">
        <v>69</v>
      </c>
      <c r="I396" t="s">
        <v>59</v>
      </c>
      <c r="J396" t="s">
        <v>67</v>
      </c>
      <c r="K396" s="2">
        <v>4</v>
      </c>
      <c r="L396" t="s">
        <v>143</v>
      </c>
      <c r="M396" s="3">
        <v>50</v>
      </c>
      <c r="N396" t="s">
        <v>45</v>
      </c>
      <c r="O396" t="s">
        <v>13</v>
      </c>
      <c r="P396" t="s">
        <v>113</v>
      </c>
      <c r="Q396" t="s">
        <v>144</v>
      </c>
      <c r="R396" s="3">
        <v>200</v>
      </c>
      <c r="S396" s="4">
        <v>8</v>
      </c>
      <c r="T396" t="s">
        <v>145</v>
      </c>
      <c r="U396">
        <v>192</v>
      </c>
      <c r="V396">
        <v>1</v>
      </c>
      <c r="W396"/>
    </row>
    <row r="397" spans="1:23" x14ac:dyDescent="0.3">
      <c r="A397">
        <v>396</v>
      </c>
      <c r="B397" s="1">
        <v>45687</v>
      </c>
      <c r="C397" t="s">
        <v>153</v>
      </c>
      <c r="D397">
        <v>2025</v>
      </c>
      <c r="E397" t="s">
        <v>15</v>
      </c>
      <c r="F397" t="s">
        <v>7</v>
      </c>
      <c r="G397" t="s">
        <v>16</v>
      </c>
      <c r="H397" t="s">
        <v>71</v>
      </c>
      <c r="I397" t="s">
        <v>63</v>
      </c>
      <c r="J397" t="s">
        <v>64</v>
      </c>
      <c r="K397" s="2">
        <v>2</v>
      </c>
      <c r="L397" t="s">
        <v>143</v>
      </c>
      <c r="M397" s="3">
        <v>300</v>
      </c>
      <c r="N397" t="s">
        <v>51</v>
      </c>
      <c r="O397" t="s">
        <v>16</v>
      </c>
      <c r="P397" t="s">
        <v>113</v>
      </c>
      <c r="Q397" t="s">
        <v>144</v>
      </c>
      <c r="R397" s="3">
        <v>600</v>
      </c>
      <c r="S397" s="4">
        <v>0</v>
      </c>
      <c r="T397" t="s">
        <v>145</v>
      </c>
      <c r="U397">
        <v>600</v>
      </c>
      <c r="V397">
        <v>1</v>
      </c>
      <c r="W397"/>
    </row>
    <row r="398" spans="1:23" x14ac:dyDescent="0.3">
      <c r="A398">
        <v>397</v>
      </c>
      <c r="B398" s="1">
        <v>45688</v>
      </c>
      <c r="C398" t="s">
        <v>153</v>
      </c>
      <c r="D398">
        <v>2025</v>
      </c>
      <c r="E398" t="s">
        <v>5</v>
      </c>
      <c r="F398" t="s">
        <v>7</v>
      </c>
      <c r="G398" t="s">
        <v>6</v>
      </c>
      <c r="H398" t="s">
        <v>58</v>
      </c>
      <c r="I398" t="s">
        <v>59</v>
      </c>
      <c r="J398" t="s">
        <v>60</v>
      </c>
      <c r="K398" s="2">
        <v>5</v>
      </c>
      <c r="L398" t="s">
        <v>143</v>
      </c>
      <c r="M398" s="3">
        <v>800</v>
      </c>
      <c r="N398" t="s">
        <v>47</v>
      </c>
      <c r="O398" t="s">
        <v>6</v>
      </c>
      <c r="P398" t="s">
        <v>115</v>
      </c>
      <c r="Q398" t="s">
        <v>146</v>
      </c>
      <c r="R398" s="3">
        <v>4000</v>
      </c>
      <c r="S398" s="4">
        <v>200</v>
      </c>
      <c r="T398" t="s">
        <v>150</v>
      </c>
      <c r="U398">
        <v>3800</v>
      </c>
      <c r="V398">
        <v>1</v>
      </c>
      <c r="W398"/>
    </row>
    <row r="399" spans="1:23" x14ac:dyDescent="0.3">
      <c r="A399">
        <v>398</v>
      </c>
      <c r="B399" s="1">
        <v>45659</v>
      </c>
      <c r="C399" t="s">
        <v>153</v>
      </c>
      <c r="D399">
        <v>2025</v>
      </c>
      <c r="E399" t="s">
        <v>9</v>
      </c>
      <c r="F399" t="s">
        <v>7</v>
      </c>
      <c r="G399" t="s">
        <v>10</v>
      </c>
      <c r="H399" t="s">
        <v>62</v>
      </c>
      <c r="I399" t="s">
        <v>63</v>
      </c>
      <c r="J399" t="s">
        <v>64</v>
      </c>
      <c r="K399" s="2">
        <v>3</v>
      </c>
      <c r="L399" t="s">
        <v>143</v>
      </c>
      <c r="M399" s="3">
        <v>150</v>
      </c>
      <c r="N399" t="s">
        <v>49</v>
      </c>
      <c r="O399" t="s">
        <v>6</v>
      </c>
      <c r="P399" t="s">
        <v>117</v>
      </c>
      <c r="Q399" t="s">
        <v>144</v>
      </c>
      <c r="R399" s="3">
        <v>450</v>
      </c>
      <c r="S399" s="4">
        <v>22.5</v>
      </c>
      <c r="T399" t="s">
        <v>145</v>
      </c>
      <c r="U399">
        <v>427.5</v>
      </c>
      <c r="V399">
        <v>1</v>
      </c>
      <c r="W399"/>
    </row>
    <row r="400" spans="1:23" x14ac:dyDescent="0.3">
      <c r="A400">
        <v>399</v>
      </c>
      <c r="B400" s="1">
        <v>45690</v>
      </c>
      <c r="C400" t="s">
        <v>157</v>
      </c>
      <c r="D400">
        <v>2025</v>
      </c>
      <c r="E400" t="s">
        <v>12</v>
      </c>
      <c r="F400" t="s">
        <v>7</v>
      </c>
      <c r="G400" t="s">
        <v>13</v>
      </c>
      <c r="H400" t="s">
        <v>66</v>
      </c>
      <c r="I400" t="s">
        <v>59</v>
      </c>
      <c r="J400" t="s">
        <v>67</v>
      </c>
      <c r="K400" s="2">
        <v>2</v>
      </c>
      <c r="L400" t="s">
        <v>143</v>
      </c>
      <c r="M400" s="3">
        <v>20</v>
      </c>
      <c r="N400" t="s">
        <v>51</v>
      </c>
      <c r="O400" t="s">
        <v>6</v>
      </c>
      <c r="P400" t="s">
        <v>113</v>
      </c>
      <c r="Q400" t="s">
        <v>144</v>
      </c>
      <c r="R400" s="3">
        <v>40</v>
      </c>
      <c r="S400" s="4">
        <v>2</v>
      </c>
      <c r="T400" t="s">
        <v>145</v>
      </c>
      <c r="U400">
        <v>38</v>
      </c>
      <c r="V400">
        <v>1</v>
      </c>
      <c r="W400"/>
    </row>
    <row r="401" spans="1:23" x14ac:dyDescent="0.3">
      <c r="A401">
        <v>400</v>
      </c>
      <c r="B401" s="1">
        <v>45718</v>
      </c>
      <c r="C401" t="s">
        <v>158</v>
      </c>
      <c r="D401">
        <v>2025</v>
      </c>
      <c r="E401" t="s">
        <v>15</v>
      </c>
      <c r="F401" t="s">
        <v>7</v>
      </c>
      <c r="G401" t="s">
        <v>16</v>
      </c>
      <c r="H401" t="s">
        <v>69</v>
      </c>
      <c r="I401" t="s">
        <v>59</v>
      </c>
      <c r="J401" t="s">
        <v>67</v>
      </c>
      <c r="K401" s="2">
        <v>1</v>
      </c>
      <c r="L401" t="s">
        <v>143</v>
      </c>
      <c r="M401" s="3">
        <v>50</v>
      </c>
      <c r="N401" t="s">
        <v>45</v>
      </c>
      <c r="O401" t="s">
        <v>10</v>
      </c>
      <c r="P401" t="s">
        <v>113</v>
      </c>
      <c r="Q401" t="s">
        <v>146</v>
      </c>
      <c r="R401" s="3">
        <v>50</v>
      </c>
      <c r="S401" s="4">
        <v>0</v>
      </c>
      <c r="T401" t="s">
        <v>145</v>
      </c>
      <c r="U401">
        <v>50</v>
      </c>
      <c r="V401">
        <v>1</v>
      </c>
      <c r="W401"/>
    </row>
    <row r="402" spans="1:23" x14ac:dyDescent="0.3">
      <c r="A402">
        <v>401</v>
      </c>
      <c r="B402" s="1">
        <v>45749</v>
      </c>
      <c r="C402" t="s">
        <v>156</v>
      </c>
      <c r="D402">
        <v>2025</v>
      </c>
      <c r="E402" t="s">
        <v>5</v>
      </c>
      <c r="F402" t="s">
        <v>7</v>
      </c>
      <c r="G402" t="s">
        <v>6</v>
      </c>
      <c r="H402" t="s">
        <v>71</v>
      </c>
      <c r="I402" t="s">
        <v>63</v>
      </c>
      <c r="J402" t="s">
        <v>64</v>
      </c>
      <c r="K402" s="2">
        <v>2</v>
      </c>
      <c r="L402" t="s">
        <v>143</v>
      </c>
      <c r="M402" s="3">
        <v>300</v>
      </c>
      <c r="N402" t="s">
        <v>51</v>
      </c>
      <c r="O402" t="s">
        <v>13</v>
      </c>
      <c r="P402" t="s">
        <v>113</v>
      </c>
      <c r="Q402" t="s">
        <v>144</v>
      </c>
      <c r="R402" s="3">
        <v>600</v>
      </c>
      <c r="S402" s="4">
        <v>24</v>
      </c>
      <c r="T402" t="s">
        <v>145</v>
      </c>
      <c r="U402">
        <v>576</v>
      </c>
      <c r="V402">
        <v>1</v>
      </c>
      <c r="W402"/>
    </row>
    <row r="403" spans="1:23" x14ac:dyDescent="0.3">
      <c r="A403">
        <v>402</v>
      </c>
      <c r="B403" s="1">
        <v>45779</v>
      </c>
      <c r="C403" t="s">
        <v>159</v>
      </c>
      <c r="D403">
        <v>2025</v>
      </c>
      <c r="E403" t="s">
        <v>9</v>
      </c>
      <c r="F403" t="s">
        <v>7</v>
      </c>
      <c r="G403" t="s">
        <v>10</v>
      </c>
      <c r="H403" t="s">
        <v>58</v>
      </c>
      <c r="I403" t="s">
        <v>59</v>
      </c>
      <c r="J403" t="s">
        <v>60</v>
      </c>
      <c r="K403" s="2">
        <v>3</v>
      </c>
      <c r="L403" t="s">
        <v>143</v>
      </c>
      <c r="M403" s="3">
        <v>800</v>
      </c>
      <c r="N403" t="s">
        <v>47</v>
      </c>
      <c r="O403" t="s">
        <v>16</v>
      </c>
      <c r="P403" t="s">
        <v>115</v>
      </c>
      <c r="Q403" t="s">
        <v>146</v>
      </c>
      <c r="R403" s="3">
        <v>2400</v>
      </c>
      <c r="S403" s="4">
        <v>144</v>
      </c>
      <c r="T403" t="s">
        <v>150</v>
      </c>
      <c r="U403">
        <v>2256</v>
      </c>
      <c r="V403">
        <v>1</v>
      </c>
      <c r="W403"/>
    </row>
    <row r="404" spans="1:23" x14ac:dyDescent="0.3">
      <c r="A404">
        <v>403</v>
      </c>
      <c r="B404" s="1">
        <v>45810</v>
      </c>
      <c r="C404" t="s">
        <v>164</v>
      </c>
      <c r="D404">
        <v>2025</v>
      </c>
      <c r="E404" t="s">
        <v>12</v>
      </c>
      <c r="F404" t="s">
        <v>7</v>
      </c>
      <c r="G404" t="s">
        <v>13</v>
      </c>
      <c r="H404" t="s">
        <v>62</v>
      </c>
      <c r="I404" t="s">
        <v>63</v>
      </c>
      <c r="J404" t="s">
        <v>64</v>
      </c>
      <c r="K404" s="2">
        <v>1</v>
      </c>
      <c r="L404" t="s">
        <v>143</v>
      </c>
      <c r="M404" s="3">
        <v>150</v>
      </c>
      <c r="N404" t="s">
        <v>49</v>
      </c>
      <c r="O404" t="s">
        <v>6</v>
      </c>
      <c r="P404" t="s">
        <v>117</v>
      </c>
      <c r="Q404" t="s">
        <v>144</v>
      </c>
      <c r="R404" s="3">
        <v>150</v>
      </c>
      <c r="S404" s="4">
        <v>0</v>
      </c>
      <c r="T404" t="s">
        <v>145</v>
      </c>
      <c r="U404">
        <v>150</v>
      </c>
      <c r="V404">
        <v>1</v>
      </c>
      <c r="W404"/>
    </row>
    <row r="405" spans="1:23" x14ac:dyDescent="0.3">
      <c r="A405">
        <v>404</v>
      </c>
      <c r="B405" s="1">
        <v>45840</v>
      </c>
      <c r="C405" t="s">
        <v>160</v>
      </c>
      <c r="D405">
        <v>2025</v>
      </c>
      <c r="E405" t="s">
        <v>15</v>
      </c>
      <c r="F405" t="s">
        <v>7</v>
      </c>
      <c r="G405" t="s">
        <v>16</v>
      </c>
      <c r="H405" t="s">
        <v>66</v>
      </c>
      <c r="I405" t="s">
        <v>59</v>
      </c>
      <c r="J405" t="s">
        <v>67</v>
      </c>
      <c r="K405" s="2">
        <v>4</v>
      </c>
      <c r="L405" t="s">
        <v>143</v>
      </c>
      <c r="M405" s="3">
        <v>20</v>
      </c>
      <c r="N405" t="s">
        <v>51</v>
      </c>
      <c r="O405" t="s">
        <v>6</v>
      </c>
      <c r="P405" t="s">
        <v>113</v>
      </c>
      <c r="Q405" t="s">
        <v>144</v>
      </c>
      <c r="R405" s="3">
        <v>80</v>
      </c>
      <c r="S405" s="4">
        <v>4</v>
      </c>
      <c r="T405" t="s">
        <v>145</v>
      </c>
      <c r="U405">
        <v>76</v>
      </c>
      <c r="V405">
        <v>1</v>
      </c>
      <c r="W405"/>
    </row>
    <row r="406" spans="1:23" x14ac:dyDescent="0.3">
      <c r="A406">
        <v>405</v>
      </c>
      <c r="B406" s="1">
        <v>45871</v>
      </c>
      <c r="C406" t="s">
        <v>154</v>
      </c>
      <c r="D406">
        <v>2025</v>
      </c>
      <c r="E406" t="s">
        <v>5</v>
      </c>
      <c r="F406" t="s">
        <v>7</v>
      </c>
      <c r="G406" t="s">
        <v>6</v>
      </c>
      <c r="H406" t="s">
        <v>69</v>
      </c>
      <c r="I406" t="s">
        <v>59</v>
      </c>
      <c r="J406" t="s">
        <v>67</v>
      </c>
      <c r="K406" s="2">
        <v>2</v>
      </c>
      <c r="L406" t="s">
        <v>143</v>
      </c>
      <c r="M406" s="3">
        <v>50</v>
      </c>
      <c r="N406" t="s">
        <v>45</v>
      </c>
      <c r="O406" t="s">
        <v>10</v>
      </c>
      <c r="P406" t="s">
        <v>113</v>
      </c>
      <c r="Q406" t="s">
        <v>146</v>
      </c>
      <c r="R406" s="3">
        <v>100</v>
      </c>
      <c r="S406" s="4">
        <v>0</v>
      </c>
      <c r="T406" t="s">
        <v>145</v>
      </c>
      <c r="U406">
        <v>100</v>
      </c>
      <c r="V406">
        <v>1</v>
      </c>
      <c r="W406"/>
    </row>
    <row r="407" spans="1:23" x14ac:dyDescent="0.3">
      <c r="A407">
        <v>406</v>
      </c>
      <c r="B407" s="1">
        <v>45902</v>
      </c>
      <c r="C407" t="s">
        <v>161</v>
      </c>
      <c r="D407">
        <v>2025</v>
      </c>
      <c r="E407" t="s">
        <v>9</v>
      </c>
      <c r="F407" t="s">
        <v>7</v>
      </c>
      <c r="G407" t="s">
        <v>10</v>
      </c>
      <c r="H407" t="s">
        <v>71</v>
      </c>
      <c r="I407" t="s">
        <v>63</v>
      </c>
      <c r="J407" t="s">
        <v>64</v>
      </c>
      <c r="K407" s="2">
        <v>5</v>
      </c>
      <c r="L407" t="s">
        <v>143</v>
      </c>
      <c r="M407" s="3">
        <v>300</v>
      </c>
      <c r="N407" t="s">
        <v>51</v>
      </c>
      <c r="O407" t="s">
        <v>13</v>
      </c>
      <c r="P407" t="s">
        <v>113</v>
      </c>
      <c r="Q407" t="s">
        <v>144</v>
      </c>
      <c r="R407" s="3">
        <v>1500</v>
      </c>
      <c r="S407" s="4">
        <v>60</v>
      </c>
      <c r="T407" t="s">
        <v>149</v>
      </c>
      <c r="U407">
        <v>1440</v>
      </c>
      <c r="V407">
        <v>1</v>
      </c>
      <c r="W407"/>
    </row>
    <row r="408" spans="1:23" x14ac:dyDescent="0.3">
      <c r="A408">
        <v>407</v>
      </c>
      <c r="B408" s="1">
        <v>45932</v>
      </c>
      <c r="C408" t="s">
        <v>155</v>
      </c>
      <c r="D408">
        <v>2025</v>
      </c>
      <c r="E408" t="s">
        <v>12</v>
      </c>
      <c r="F408" t="s">
        <v>7</v>
      </c>
      <c r="G408" t="s">
        <v>13</v>
      </c>
      <c r="H408" t="s">
        <v>58</v>
      </c>
      <c r="I408" t="s">
        <v>59</v>
      </c>
      <c r="J408" t="s">
        <v>60</v>
      </c>
      <c r="K408" s="2">
        <v>2</v>
      </c>
      <c r="L408" t="s">
        <v>143</v>
      </c>
      <c r="M408" s="3">
        <v>800</v>
      </c>
      <c r="N408" t="s">
        <v>47</v>
      </c>
      <c r="O408" t="s">
        <v>16</v>
      </c>
      <c r="P408" t="s">
        <v>115</v>
      </c>
      <c r="Q408" t="s">
        <v>144</v>
      </c>
      <c r="R408" s="3">
        <v>1600</v>
      </c>
      <c r="S408" s="4">
        <v>0</v>
      </c>
      <c r="T408" t="s">
        <v>149</v>
      </c>
      <c r="U408">
        <v>1600</v>
      </c>
      <c r="V408">
        <v>1</v>
      </c>
      <c r="W408"/>
    </row>
    <row r="409" spans="1:23" x14ac:dyDescent="0.3">
      <c r="A409">
        <v>408</v>
      </c>
      <c r="B409" s="1">
        <v>45963</v>
      </c>
      <c r="C409" t="s">
        <v>162</v>
      </c>
      <c r="D409">
        <v>2025</v>
      </c>
      <c r="E409" t="s">
        <v>15</v>
      </c>
      <c r="F409" t="s">
        <v>7</v>
      </c>
      <c r="G409" t="s">
        <v>16</v>
      </c>
      <c r="H409" t="s">
        <v>62</v>
      </c>
      <c r="I409" t="s">
        <v>63</v>
      </c>
      <c r="J409" t="s">
        <v>64</v>
      </c>
      <c r="K409" s="2">
        <v>3</v>
      </c>
      <c r="L409" t="s">
        <v>143</v>
      </c>
      <c r="M409" s="3">
        <v>150</v>
      </c>
      <c r="N409" t="s">
        <v>49</v>
      </c>
      <c r="O409" t="s">
        <v>6</v>
      </c>
      <c r="P409" t="s">
        <v>117</v>
      </c>
      <c r="Q409" t="s">
        <v>146</v>
      </c>
      <c r="R409" s="3">
        <v>450</v>
      </c>
      <c r="S409" s="4">
        <v>22.5</v>
      </c>
      <c r="T409" t="s">
        <v>145</v>
      </c>
      <c r="U409">
        <v>427.5</v>
      </c>
      <c r="V409">
        <v>1</v>
      </c>
      <c r="W409"/>
    </row>
    <row r="410" spans="1:23" x14ac:dyDescent="0.3">
      <c r="A410">
        <v>409</v>
      </c>
      <c r="B410" s="1">
        <v>45993</v>
      </c>
      <c r="C410" t="s">
        <v>163</v>
      </c>
      <c r="D410">
        <v>2025</v>
      </c>
      <c r="E410" t="s">
        <v>5</v>
      </c>
      <c r="F410" t="s">
        <v>7</v>
      </c>
      <c r="G410" t="s">
        <v>6</v>
      </c>
      <c r="H410" t="s">
        <v>66</v>
      </c>
      <c r="I410" t="s">
        <v>59</v>
      </c>
      <c r="J410" t="s">
        <v>67</v>
      </c>
      <c r="K410" s="2">
        <v>1</v>
      </c>
      <c r="L410" t="s">
        <v>143</v>
      </c>
      <c r="M410" s="3">
        <v>20</v>
      </c>
      <c r="N410" t="s">
        <v>51</v>
      </c>
      <c r="O410" t="s">
        <v>6</v>
      </c>
      <c r="P410" t="s">
        <v>113</v>
      </c>
      <c r="Q410" t="s">
        <v>144</v>
      </c>
      <c r="R410" s="3">
        <v>20</v>
      </c>
      <c r="S410" s="4">
        <v>0</v>
      </c>
      <c r="T410" t="s">
        <v>145</v>
      </c>
      <c r="U410">
        <v>20</v>
      </c>
      <c r="V410">
        <v>1</v>
      </c>
      <c r="W410"/>
    </row>
    <row r="411" spans="1:23" x14ac:dyDescent="0.3">
      <c r="A411">
        <v>410</v>
      </c>
      <c r="B411" s="1">
        <v>45701</v>
      </c>
      <c r="C411" t="s">
        <v>157</v>
      </c>
      <c r="D411">
        <v>2025</v>
      </c>
      <c r="E411" t="s">
        <v>9</v>
      </c>
      <c r="F411" t="s">
        <v>7</v>
      </c>
      <c r="G411" t="s">
        <v>10</v>
      </c>
      <c r="H411" t="s">
        <v>69</v>
      </c>
      <c r="I411" t="s">
        <v>59</v>
      </c>
      <c r="J411" t="s">
        <v>67</v>
      </c>
      <c r="K411" s="2">
        <v>4</v>
      </c>
      <c r="L411" t="s">
        <v>143</v>
      </c>
      <c r="M411" s="3">
        <v>50</v>
      </c>
      <c r="N411" t="s">
        <v>45</v>
      </c>
      <c r="O411" t="s">
        <v>13</v>
      </c>
      <c r="P411" t="s">
        <v>113</v>
      </c>
      <c r="Q411" t="s">
        <v>144</v>
      </c>
      <c r="R411" s="3">
        <v>200</v>
      </c>
      <c r="S411" s="4">
        <v>8</v>
      </c>
      <c r="T411" t="s">
        <v>145</v>
      </c>
      <c r="U411">
        <v>192</v>
      </c>
      <c r="V411">
        <v>1</v>
      </c>
      <c r="W411"/>
    </row>
    <row r="412" spans="1:23" x14ac:dyDescent="0.3">
      <c r="A412">
        <v>411</v>
      </c>
      <c r="B412" s="1">
        <v>45702</v>
      </c>
      <c r="C412" t="s">
        <v>157</v>
      </c>
      <c r="D412">
        <v>2025</v>
      </c>
      <c r="E412" t="s">
        <v>12</v>
      </c>
      <c r="F412" t="s">
        <v>7</v>
      </c>
      <c r="G412" t="s">
        <v>13</v>
      </c>
      <c r="H412" t="s">
        <v>71</v>
      </c>
      <c r="I412" t="s">
        <v>63</v>
      </c>
      <c r="J412" t="s">
        <v>64</v>
      </c>
      <c r="K412" s="2">
        <v>2</v>
      </c>
      <c r="L412" t="s">
        <v>143</v>
      </c>
      <c r="M412" s="3">
        <v>300</v>
      </c>
      <c r="N412" t="s">
        <v>51</v>
      </c>
      <c r="O412" t="s">
        <v>16</v>
      </c>
      <c r="P412" t="s">
        <v>113</v>
      </c>
      <c r="Q412" t="s">
        <v>146</v>
      </c>
      <c r="R412" s="3">
        <v>600</v>
      </c>
      <c r="S412" s="4">
        <v>0</v>
      </c>
      <c r="T412" t="s">
        <v>145</v>
      </c>
      <c r="U412">
        <v>600</v>
      </c>
      <c r="V412">
        <v>1</v>
      </c>
      <c r="W412"/>
    </row>
    <row r="413" spans="1:23" x14ac:dyDescent="0.3">
      <c r="A413">
        <v>412</v>
      </c>
      <c r="B413" s="1">
        <v>45703</v>
      </c>
      <c r="C413" t="s">
        <v>157</v>
      </c>
      <c r="D413">
        <v>2025</v>
      </c>
      <c r="E413" t="s">
        <v>15</v>
      </c>
      <c r="F413" t="s">
        <v>7</v>
      </c>
      <c r="G413" t="s">
        <v>16</v>
      </c>
      <c r="H413" t="s">
        <v>58</v>
      </c>
      <c r="I413" t="s">
        <v>59</v>
      </c>
      <c r="J413" t="s">
        <v>60</v>
      </c>
      <c r="K413" s="2">
        <v>3</v>
      </c>
      <c r="L413" t="s">
        <v>143</v>
      </c>
      <c r="M413" s="3">
        <v>800</v>
      </c>
      <c r="N413" t="s">
        <v>47</v>
      </c>
      <c r="O413" t="s">
        <v>6</v>
      </c>
      <c r="P413" t="s">
        <v>115</v>
      </c>
      <c r="Q413" t="s">
        <v>144</v>
      </c>
      <c r="R413" s="3">
        <v>2400</v>
      </c>
      <c r="S413" s="4">
        <v>120</v>
      </c>
      <c r="T413" t="s">
        <v>150</v>
      </c>
      <c r="U413">
        <v>2280</v>
      </c>
      <c r="V413">
        <v>1</v>
      </c>
      <c r="W413"/>
    </row>
    <row r="414" spans="1:23" x14ac:dyDescent="0.3">
      <c r="A414">
        <v>413</v>
      </c>
      <c r="B414" s="1">
        <v>45704</v>
      </c>
      <c r="C414" t="s">
        <v>157</v>
      </c>
      <c r="D414">
        <v>2025</v>
      </c>
      <c r="E414" t="s">
        <v>5</v>
      </c>
      <c r="F414" t="s">
        <v>7</v>
      </c>
      <c r="G414" t="s">
        <v>6</v>
      </c>
      <c r="H414" t="s">
        <v>62</v>
      </c>
      <c r="I414" t="s">
        <v>63</v>
      </c>
      <c r="J414" t="s">
        <v>64</v>
      </c>
      <c r="K414" s="2">
        <v>2</v>
      </c>
      <c r="L414" t="s">
        <v>143</v>
      </c>
      <c r="M414" s="3">
        <v>150</v>
      </c>
      <c r="N414" t="s">
        <v>49</v>
      </c>
      <c r="O414" t="s">
        <v>6</v>
      </c>
      <c r="P414" t="s">
        <v>117</v>
      </c>
      <c r="Q414" t="s">
        <v>144</v>
      </c>
      <c r="R414" s="3">
        <v>300</v>
      </c>
      <c r="S414" s="4">
        <v>15</v>
      </c>
      <c r="T414" t="s">
        <v>145</v>
      </c>
      <c r="U414">
        <v>285</v>
      </c>
      <c r="V414">
        <v>1</v>
      </c>
      <c r="W414"/>
    </row>
    <row r="415" spans="1:23" x14ac:dyDescent="0.3">
      <c r="A415">
        <v>414</v>
      </c>
      <c r="B415" s="1">
        <v>45705</v>
      </c>
      <c r="C415" t="s">
        <v>157</v>
      </c>
      <c r="D415">
        <v>2025</v>
      </c>
      <c r="E415" t="s">
        <v>9</v>
      </c>
      <c r="F415" t="s">
        <v>7</v>
      </c>
      <c r="G415" t="s">
        <v>10</v>
      </c>
      <c r="H415" t="s">
        <v>66</v>
      </c>
      <c r="I415" t="s">
        <v>59</v>
      </c>
      <c r="J415" t="s">
        <v>67</v>
      </c>
      <c r="K415" s="2">
        <v>5</v>
      </c>
      <c r="L415" t="s">
        <v>143</v>
      </c>
      <c r="M415" s="3">
        <v>20</v>
      </c>
      <c r="N415" t="s">
        <v>51</v>
      </c>
      <c r="O415" t="s">
        <v>6</v>
      </c>
      <c r="P415" t="s">
        <v>113</v>
      </c>
      <c r="Q415" t="s">
        <v>146</v>
      </c>
      <c r="R415" s="3">
        <v>100</v>
      </c>
      <c r="S415" s="4">
        <v>5</v>
      </c>
      <c r="T415" t="s">
        <v>145</v>
      </c>
      <c r="U415">
        <v>95</v>
      </c>
      <c r="V415">
        <v>1</v>
      </c>
      <c r="W415"/>
    </row>
    <row r="416" spans="1:23" x14ac:dyDescent="0.3">
      <c r="A416">
        <v>415</v>
      </c>
      <c r="B416" s="1">
        <v>45706</v>
      </c>
      <c r="C416" t="s">
        <v>157</v>
      </c>
      <c r="D416">
        <v>2025</v>
      </c>
      <c r="E416" t="s">
        <v>12</v>
      </c>
      <c r="F416" t="s">
        <v>7</v>
      </c>
      <c r="G416" t="s">
        <v>13</v>
      </c>
      <c r="H416" t="s">
        <v>69</v>
      </c>
      <c r="I416" t="s">
        <v>59</v>
      </c>
      <c r="J416" t="s">
        <v>67</v>
      </c>
      <c r="K416" s="2">
        <v>1</v>
      </c>
      <c r="L416" t="s">
        <v>143</v>
      </c>
      <c r="M416" s="3">
        <v>50</v>
      </c>
      <c r="N416" t="s">
        <v>45</v>
      </c>
      <c r="O416" t="s">
        <v>10</v>
      </c>
      <c r="P416" t="s">
        <v>113</v>
      </c>
      <c r="Q416" t="s">
        <v>144</v>
      </c>
      <c r="R416" s="3">
        <v>50</v>
      </c>
      <c r="S416" s="4">
        <v>0</v>
      </c>
      <c r="T416" t="s">
        <v>145</v>
      </c>
      <c r="U416">
        <v>50</v>
      </c>
      <c r="V416">
        <v>1</v>
      </c>
      <c r="W416"/>
    </row>
    <row r="417" spans="1:23" x14ac:dyDescent="0.3">
      <c r="A417">
        <v>416</v>
      </c>
      <c r="B417" s="1">
        <v>45707</v>
      </c>
      <c r="C417" t="s">
        <v>157</v>
      </c>
      <c r="D417">
        <v>2025</v>
      </c>
      <c r="E417" t="s">
        <v>15</v>
      </c>
      <c r="F417" t="s">
        <v>7</v>
      </c>
      <c r="G417" t="s">
        <v>16</v>
      </c>
      <c r="H417" t="s">
        <v>71</v>
      </c>
      <c r="I417" t="s">
        <v>63</v>
      </c>
      <c r="J417" t="s">
        <v>64</v>
      </c>
      <c r="K417" s="2">
        <v>4</v>
      </c>
      <c r="L417" t="s">
        <v>143</v>
      </c>
      <c r="M417" s="3">
        <v>300</v>
      </c>
      <c r="N417" t="s">
        <v>51</v>
      </c>
      <c r="O417" t="s">
        <v>13</v>
      </c>
      <c r="P417" t="s">
        <v>113</v>
      </c>
      <c r="Q417" t="s">
        <v>144</v>
      </c>
      <c r="R417" s="3">
        <v>1200</v>
      </c>
      <c r="S417" s="4">
        <v>48</v>
      </c>
      <c r="T417" t="s">
        <v>149</v>
      </c>
      <c r="U417">
        <v>1152</v>
      </c>
      <c r="V417">
        <v>1</v>
      </c>
      <c r="W417"/>
    </row>
    <row r="418" spans="1:23" x14ac:dyDescent="0.3">
      <c r="A418">
        <v>417</v>
      </c>
      <c r="B418" s="1">
        <v>45708</v>
      </c>
      <c r="C418" t="s">
        <v>157</v>
      </c>
      <c r="D418">
        <v>2025</v>
      </c>
      <c r="E418" t="s">
        <v>5</v>
      </c>
      <c r="F418" t="s">
        <v>7</v>
      </c>
      <c r="G418" t="s">
        <v>6</v>
      </c>
      <c r="H418" t="s">
        <v>58</v>
      </c>
      <c r="I418" t="s">
        <v>59</v>
      </c>
      <c r="J418" t="s">
        <v>60</v>
      </c>
      <c r="K418" s="2">
        <v>2</v>
      </c>
      <c r="L418" t="s">
        <v>143</v>
      </c>
      <c r="M418" s="3">
        <v>800</v>
      </c>
      <c r="N418" t="s">
        <v>47</v>
      </c>
      <c r="O418" t="s">
        <v>16</v>
      </c>
      <c r="P418" t="s">
        <v>115</v>
      </c>
      <c r="Q418" t="s">
        <v>146</v>
      </c>
      <c r="R418" s="3">
        <v>1600</v>
      </c>
      <c r="S418" s="4">
        <v>0</v>
      </c>
      <c r="T418" t="s">
        <v>149</v>
      </c>
      <c r="U418">
        <v>1600</v>
      </c>
      <c r="V418">
        <v>1</v>
      </c>
      <c r="W418"/>
    </row>
    <row r="419" spans="1:23" x14ac:dyDescent="0.3">
      <c r="A419">
        <v>418</v>
      </c>
      <c r="B419" s="1">
        <v>45709</v>
      </c>
      <c r="C419" t="s">
        <v>157</v>
      </c>
      <c r="D419">
        <v>2025</v>
      </c>
      <c r="E419" t="s">
        <v>9</v>
      </c>
      <c r="F419" t="s">
        <v>7</v>
      </c>
      <c r="G419" t="s">
        <v>10</v>
      </c>
      <c r="H419" t="s">
        <v>62</v>
      </c>
      <c r="I419" t="s">
        <v>63</v>
      </c>
      <c r="J419" t="s">
        <v>64</v>
      </c>
      <c r="K419" s="2">
        <v>3</v>
      </c>
      <c r="L419" t="s">
        <v>143</v>
      </c>
      <c r="M419" s="3">
        <v>150</v>
      </c>
      <c r="N419" t="s">
        <v>49</v>
      </c>
      <c r="O419" t="s">
        <v>6</v>
      </c>
      <c r="P419" t="s">
        <v>117</v>
      </c>
      <c r="Q419" t="s">
        <v>144</v>
      </c>
      <c r="R419" s="3">
        <v>450</v>
      </c>
      <c r="S419" s="4">
        <v>22.5</v>
      </c>
      <c r="T419" t="s">
        <v>145</v>
      </c>
      <c r="U419">
        <v>427.5</v>
      </c>
      <c r="V419">
        <v>1</v>
      </c>
      <c r="W419"/>
    </row>
    <row r="420" spans="1:23" x14ac:dyDescent="0.3">
      <c r="A420">
        <v>419</v>
      </c>
      <c r="B420" s="1">
        <v>45710</v>
      </c>
      <c r="C420" t="s">
        <v>157</v>
      </c>
      <c r="D420">
        <v>2025</v>
      </c>
      <c r="E420" t="s">
        <v>12</v>
      </c>
      <c r="F420" t="s">
        <v>7</v>
      </c>
      <c r="G420" t="s">
        <v>13</v>
      </c>
      <c r="H420" t="s">
        <v>66</v>
      </c>
      <c r="I420" t="s">
        <v>59</v>
      </c>
      <c r="J420" t="s">
        <v>67</v>
      </c>
      <c r="K420" s="2">
        <v>2</v>
      </c>
      <c r="L420" t="s">
        <v>143</v>
      </c>
      <c r="M420" s="3">
        <v>20</v>
      </c>
      <c r="N420" t="s">
        <v>51</v>
      </c>
      <c r="O420" t="s">
        <v>6</v>
      </c>
      <c r="P420" t="s">
        <v>113</v>
      </c>
      <c r="Q420" t="s">
        <v>144</v>
      </c>
      <c r="R420" s="3">
        <v>40</v>
      </c>
      <c r="S420" s="4">
        <v>2</v>
      </c>
      <c r="T420" t="s">
        <v>145</v>
      </c>
      <c r="U420">
        <v>38</v>
      </c>
      <c r="V420">
        <v>1</v>
      </c>
      <c r="W420"/>
    </row>
    <row r="421" spans="1:23" x14ac:dyDescent="0.3">
      <c r="A421">
        <v>420</v>
      </c>
      <c r="B421" s="1">
        <v>45711</v>
      </c>
      <c r="C421" t="s">
        <v>157</v>
      </c>
      <c r="D421">
        <v>2025</v>
      </c>
      <c r="E421" t="s">
        <v>15</v>
      </c>
      <c r="F421" t="s">
        <v>7</v>
      </c>
      <c r="G421" t="s">
        <v>16</v>
      </c>
      <c r="H421" t="s">
        <v>69</v>
      </c>
      <c r="I421" t="s">
        <v>59</v>
      </c>
      <c r="J421" t="s">
        <v>67</v>
      </c>
      <c r="K421" s="2">
        <v>5</v>
      </c>
      <c r="L421" t="s">
        <v>143</v>
      </c>
      <c r="M421" s="3">
        <v>50</v>
      </c>
      <c r="N421" t="s">
        <v>45</v>
      </c>
      <c r="O421" t="s">
        <v>13</v>
      </c>
      <c r="P421" t="s">
        <v>113</v>
      </c>
      <c r="Q421" t="s">
        <v>146</v>
      </c>
      <c r="R421" s="3">
        <v>250</v>
      </c>
      <c r="S421" s="4">
        <v>10</v>
      </c>
      <c r="T421" t="s">
        <v>145</v>
      </c>
      <c r="U421">
        <v>240</v>
      </c>
      <c r="V421">
        <v>1</v>
      </c>
      <c r="W421"/>
    </row>
    <row r="422" spans="1:23" x14ac:dyDescent="0.3">
      <c r="A422">
        <v>421</v>
      </c>
      <c r="B422" s="1">
        <v>45712</v>
      </c>
      <c r="C422" t="s">
        <v>157</v>
      </c>
      <c r="D422">
        <v>2025</v>
      </c>
      <c r="E422" t="s">
        <v>5</v>
      </c>
      <c r="F422" t="s">
        <v>7</v>
      </c>
      <c r="G422" t="s">
        <v>6</v>
      </c>
      <c r="H422" t="s">
        <v>71</v>
      </c>
      <c r="I422" t="s">
        <v>63</v>
      </c>
      <c r="J422" t="s">
        <v>64</v>
      </c>
      <c r="K422" s="2">
        <v>1</v>
      </c>
      <c r="L422" t="s">
        <v>143</v>
      </c>
      <c r="M422" s="3">
        <v>300</v>
      </c>
      <c r="N422" t="s">
        <v>51</v>
      </c>
      <c r="O422" t="s">
        <v>16</v>
      </c>
      <c r="P422" t="s">
        <v>113</v>
      </c>
      <c r="Q422" t="s">
        <v>144</v>
      </c>
      <c r="R422" s="3">
        <v>300</v>
      </c>
      <c r="S422" s="4">
        <v>0</v>
      </c>
      <c r="T422" t="s">
        <v>145</v>
      </c>
      <c r="U422">
        <v>300</v>
      </c>
      <c r="V422">
        <v>1</v>
      </c>
      <c r="W422"/>
    </row>
    <row r="423" spans="1:23" x14ac:dyDescent="0.3">
      <c r="A423">
        <v>422</v>
      </c>
      <c r="B423" s="1">
        <v>45713</v>
      </c>
      <c r="C423" t="s">
        <v>157</v>
      </c>
      <c r="D423">
        <v>2025</v>
      </c>
      <c r="E423" t="s">
        <v>9</v>
      </c>
      <c r="F423" t="s">
        <v>7</v>
      </c>
      <c r="G423" t="s">
        <v>10</v>
      </c>
      <c r="H423" t="s">
        <v>58</v>
      </c>
      <c r="I423" t="s">
        <v>59</v>
      </c>
      <c r="J423" t="s">
        <v>60</v>
      </c>
      <c r="K423" s="2">
        <v>4</v>
      </c>
      <c r="L423" t="s">
        <v>143</v>
      </c>
      <c r="M423" s="3">
        <v>800</v>
      </c>
      <c r="N423" t="s">
        <v>47</v>
      </c>
      <c r="O423" t="s">
        <v>6</v>
      </c>
      <c r="P423" t="s">
        <v>115</v>
      </c>
      <c r="Q423" t="s">
        <v>146</v>
      </c>
      <c r="R423" s="3">
        <v>3200</v>
      </c>
      <c r="S423" s="4">
        <v>160</v>
      </c>
      <c r="T423" t="s">
        <v>150</v>
      </c>
      <c r="U423">
        <v>3040</v>
      </c>
      <c r="V423">
        <v>1</v>
      </c>
      <c r="W423"/>
    </row>
    <row r="424" spans="1:23" x14ac:dyDescent="0.3">
      <c r="A424">
        <v>423</v>
      </c>
      <c r="B424" s="1">
        <v>45714</v>
      </c>
      <c r="C424" t="s">
        <v>157</v>
      </c>
      <c r="D424">
        <v>2025</v>
      </c>
      <c r="E424" t="s">
        <v>12</v>
      </c>
      <c r="F424" t="s">
        <v>7</v>
      </c>
      <c r="G424" t="s">
        <v>13</v>
      </c>
      <c r="H424" t="s">
        <v>62</v>
      </c>
      <c r="I424" t="s">
        <v>63</v>
      </c>
      <c r="J424" t="s">
        <v>64</v>
      </c>
      <c r="K424" s="2">
        <v>2</v>
      </c>
      <c r="L424" t="s">
        <v>143</v>
      </c>
      <c r="M424" s="3">
        <v>150</v>
      </c>
      <c r="N424" t="s">
        <v>49</v>
      </c>
      <c r="O424" t="s">
        <v>6</v>
      </c>
      <c r="P424" t="s">
        <v>117</v>
      </c>
      <c r="Q424" t="s">
        <v>144</v>
      </c>
      <c r="R424" s="3">
        <v>300</v>
      </c>
      <c r="S424" s="4">
        <v>15</v>
      </c>
      <c r="T424" t="s">
        <v>145</v>
      </c>
      <c r="U424">
        <v>285</v>
      </c>
      <c r="V424">
        <v>1</v>
      </c>
      <c r="W424"/>
    </row>
    <row r="425" spans="1:23" x14ac:dyDescent="0.3">
      <c r="A425">
        <v>424</v>
      </c>
      <c r="B425" s="1">
        <v>45715</v>
      </c>
      <c r="C425" t="s">
        <v>157</v>
      </c>
      <c r="D425">
        <v>2025</v>
      </c>
      <c r="E425" t="s">
        <v>15</v>
      </c>
      <c r="F425" t="s">
        <v>7</v>
      </c>
      <c r="G425" t="s">
        <v>16</v>
      </c>
      <c r="H425" t="s">
        <v>66</v>
      </c>
      <c r="I425" t="s">
        <v>59</v>
      </c>
      <c r="J425" t="s">
        <v>67</v>
      </c>
      <c r="K425" s="2">
        <v>3</v>
      </c>
      <c r="L425" t="s">
        <v>143</v>
      </c>
      <c r="M425" s="3">
        <v>20</v>
      </c>
      <c r="N425" t="s">
        <v>51</v>
      </c>
      <c r="O425" t="s">
        <v>6</v>
      </c>
      <c r="P425" t="s">
        <v>113</v>
      </c>
      <c r="Q425" t="s">
        <v>144</v>
      </c>
      <c r="R425" s="3">
        <v>60</v>
      </c>
      <c r="S425" s="4">
        <v>3</v>
      </c>
      <c r="T425" t="s">
        <v>145</v>
      </c>
      <c r="U425">
        <v>57</v>
      </c>
      <c r="V425">
        <v>1</v>
      </c>
      <c r="W425"/>
    </row>
    <row r="426" spans="1:23" x14ac:dyDescent="0.3">
      <c r="A426">
        <v>425</v>
      </c>
      <c r="B426" s="1">
        <v>45716</v>
      </c>
      <c r="C426" t="s">
        <v>157</v>
      </c>
      <c r="D426">
        <v>2025</v>
      </c>
      <c r="E426" t="s">
        <v>5</v>
      </c>
      <c r="F426" t="s">
        <v>7</v>
      </c>
      <c r="G426" t="s">
        <v>6</v>
      </c>
      <c r="H426" t="s">
        <v>69</v>
      </c>
      <c r="I426" t="s">
        <v>59</v>
      </c>
      <c r="J426" t="s">
        <v>67</v>
      </c>
      <c r="K426" s="2">
        <v>2</v>
      </c>
      <c r="L426" t="s">
        <v>143</v>
      </c>
      <c r="M426" s="3">
        <v>50</v>
      </c>
      <c r="N426" t="s">
        <v>45</v>
      </c>
      <c r="O426" t="s">
        <v>10</v>
      </c>
      <c r="P426" t="s">
        <v>113</v>
      </c>
      <c r="Q426" t="s">
        <v>146</v>
      </c>
      <c r="R426" s="3">
        <v>100</v>
      </c>
      <c r="S426" s="4">
        <v>0</v>
      </c>
      <c r="T426" t="s">
        <v>145</v>
      </c>
      <c r="U426">
        <v>100</v>
      </c>
      <c r="V426">
        <v>1</v>
      </c>
      <c r="W426"/>
    </row>
    <row r="427" spans="1:23" x14ac:dyDescent="0.3">
      <c r="A427">
        <v>426</v>
      </c>
      <c r="B427" s="1">
        <v>45660</v>
      </c>
      <c r="C427" t="s">
        <v>153</v>
      </c>
      <c r="D427">
        <v>2025</v>
      </c>
      <c r="E427" t="s">
        <v>9</v>
      </c>
      <c r="F427" t="s">
        <v>7</v>
      </c>
      <c r="G427" t="s">
        <v>10</v>
      </c>
      <c r="H427" t="s">
        <v>71</v>
      </c>
      <c r="I427" t="s">
        <v>63</v>
      </c>
      <c r="J427" t="s">
        <v>64</v>
      </c>
      <c r="K427" s="2">
        <v>5</v>
      </c>
      <c r="L427" t="s">
        <v>143</v>
      </c>
      <c r="M427" s="3">
        <v>300</v>
      </c>
      <c r="N427" t="s">
        <v>51</v>
      </c>
      <c r="O427" t="s">
        <v>13</v>
      </c>
      <c r="P427" t="s">
        <v>113</v>
      </c>
      <c r="Q427" t="s">
        <v>144</v>
      </c>
      <c r="R427" s="3">
        <v>1500</v>
      </c>
      <c r="S427" s="4">
        <v>60</v>
      </c>
      <c r="T427" t="s">
        <v>149</v>
      </c>
      <c r="U427">
        <v>1440</v>
      </c>
      <c r="V427">
        <v>1</v>
      </c>
      <c r="W427"/>
    </row>
    <row r="428" spans="1:23" x14ac:dyDescent="0.3">
      <c r="A428">
        <v>427</v>
      </c>
      <c r="B428" s="1">
        <v>45691</v>
      </c>
      <c r="C428" t="s">
        <v>157</v>
      </c>
      <c r="D428">
        <v>2025</v>
      </c>
      <c r="E428" t="s">
        <v>12</v>
      </c>
      <c r="F428" t="s">
        <v>7</v>
      </c>
      <c r="G428" t="s">
        <v>13</v>
      </c>
      <c r="H428" t="s">
        <v>58</v>
      </c>
      <c r="I428" t="s">
        <v>59</v>
      </c>
      <c r="J428" t="s">
        <v>60</v>
      </c>
      <c r="K428" s="2">
        <v>3</v>
      </c>
      <c r="L428" t="s">
        <v>143</v>
      </c>
      <c r="M428" s="3">
        <v>800</v>
      </c>
      <c r="N428" t="s">
        <v>47</v>
      </c>
      <c r="O428" t="s">
        <v>16</v>
      </c>
      <c r="P428" t="s">
        <v>115</v>
      </c>
      <c r="Q428" t="s">
        <v>144</v>
      </c>
      <c r="R428" s="3">
        <v>2400</v>
      </c>
      <c r="S428" s="4">
        <v>144</v>
      </c>
      <c r="T428" t="s">
        <v>150</v>
      </c>
      <c r="U428">
        <v>2256</v>
      </c>
      <c r="V428">
        <v>1</v>
      </c>
      <c r="W428"/>
    </row>
    <row r="429" spans="1:23" x14ac:dyDescent="0.3">
      <c r="A429">
        <v>428</v>
      </c>
      <c r="B429" s="1">
        <v>45719</v>
      </c>
      <c r="C429" t="s">
        <v>158</v>
      </c>
      <c r="D429">
        <v>2025</v>
      </c>
      <c r="E429" t="s">
        <v>15</v>
      </c>
      <c r="F429" t="s">
        <v>7</v>
      </c>
      <c r="G429" t="s">
        <v>16</v>
      </c>
      <c r="H429" t="s">
        <v>62</v>
      </c>
      <c r="I429" t="s">
        <v>63</v>
      </c>
      <c r="J429" t="s">
        <v>64</v>
      </c>
      <c r="K429" s="2">
        <v>1</v>
      </c>
      <c r="L429" t="s">
        <v>143</v>
      </c>
      <c r="M429" s="3">
        <v>150</v>
      </c>
      <c r="N429" t="s">
        <v>49</v>
      </c>
      <c r="O429" t="s">
        <v>6</v>
      </c>
      <c r="P429" t="s">
        <v>117</v>
      </c>
      <c r="Q429" t="s">
        <v>146</v>
      </c>
      <c r="R429" s="3">
        <v>150</v>
      </c>
      <c r="S429" s="4">
        <v>0</v>
      </c>
      <c r="T429" t="s">
        <v>145</v>
      </c>
      <c r="U429">
        <v>150</v>
      </c>
      <c r="V429">
        <v>1</v>
      </c>
      <c r="W429"/>
    </row>
    <row r="430" spans="1:23" x14ac:dyDescent="0.3">
      <c r="A430">
        <v>429</v>
      </c>
      <c r="B430" s="1">
        <v>45750</v>
      </c>
      <c r="C430" t="s">
        <v>156</v>
      </c>
      <c r="D430">
        <v>2025</v>
      </c>
      <c r="E430" t="s">
        <v>5</v>
      </c>
      <c r="F430" t="s">
        <v>7</v>
      </c>
      <c r="G430" t="s">
        <v>6</v>
      </c>
      <c r="H430" t="s">
        <v>66</v>
      </c>
      <c r="I430" t="s">
        <v>59</v>
      </c>
      <c r="J430" t="s">
        <v>67</v>
      </c>
      <c r="K430" s="2">
        <v>4</v>
      </c>
      <c r="L430" t="s">
        <v>143</v>
      </c>
      <c r="M430" s="3">
        <v>20</v>
      </c>
      <c r="N430" t="s">
        <v>51</v>
      </c>
      <c r="O430" t="s">
        <v>6</v>
      </c>
      <c r="P430" t="s">
        <v>113</v>
      </c>
      <c r="Q430" t="s">
        <v>144</v>
      </c>
      <c r="R430" s="3">
        <v>80</v>
      </c>
      <c r="S430" s="4">
        <v>4</v>
      </c>
      <c r="T430" t="s">
        <v>145</v>
      </c>
      <c r="U430">
        <v>76</v>
      </c>
      <c r="V430">
        <v>1</v>
      </c>
      <c r="W430"/>
    </row>
    <row r="431" spans="1:23" x14ac:dyDescent="0.3">
      <c r="A431">
        <v>430</v>
      </c>
      <c r="B431" s="1">
        <v>45780</v>
      </c>
      <c r="C431" t="s">
        <v>159</v>
      </c>
      <c r="D431">
        <v>2025</v>
      </c>
      <c r="E431" t="s">
        <v>9</v>
      </c>
      <c r="F431" t="s">
        <v>7</v>
      </c>
      <c r="G431" t="s">
        <v>10</v>
      </c>
      <c r="H431" t="s">
        <v>69</v>
      </c>
      <c r="I431" t="s">
        <v>59</v>
      </c>
      <c r="J431" t="s">
        <v>67</v>
      </c>
      <c r="K431" s="2">
        <v>2</v>
      </c>
      <c r="L431" t="s">
        <v>143</v>
      </c>
      <c r="M431" s="3">
        <v>50</v>
      </c>
      <c r="N431" t="s">
        <v>45</v>
      </c>
      <c r="O431" t="s">
        <v>13</v>
      </c>
      <c r="P431" t="s">
        <v>113</v>
      </c>
      <c r="Q431" t="s">
        <v>144</v>
      </c>
      <c r="R431" s="3">
        <v>100</v>
      </c>
      <c r="S431" s="4">
        <v>4</v>
      </c>
      <c r="T431" t="s">
        <v>145</v>
      </c>
      <c r="U431">
        <v>96</v>
      </c>
      <c r="V431">
        <v>1</v>
      </c>
      <c r="W431"/>
    </row>
    <row r="432" spans="1:23" x14ac:dyDescent="0.3">
      <c r="A432">
        <v>431</v>
      </c>
      <c r="B432" s="1">
        <v>45811</v>
      </c>
      <c r="C432" t="s">
        <v>164</v>
      </c>
      <c r="D432">
        <v>2025</v>
      </c>
      <c r="E432" t="s">
        <v>12</v>
      </c>
      <c r="F432" t="s">
        <v>7</v>
      </c>
      <c r="G432" t="s">
        <v>13</v>
      </c>
      <c r="H432" t="s">
        <v>71</v>
      </c>
      <c r="I432" t="s">
        <v>63</v>
      </c>
      <c r="J432" t="s">
        <v>64</v>
      </c>
      <c r="K432" s="2">
        <v>3</v>
      </c>
      <c r="L432" t="s">
        <v>143</v>
      </c>
      <c r="M432" s="3">
        <v>300</v>
      </c>
      <c r="N432" t="s">
        <v>51</v>
      </c>
      <c r="O432" t="s">
        <v>16</v>
      </c>
      <c r="P432" t="s">
        <v>113</v>
      </c>
      <c r="Q432" t="s">
        <v>146</v>
      </c>
      <c r="R432" s="3">
        <v>900</v>
      </c>
      <c r="S432" s="4">
        <v>54</v>
      </c>
      <c r="T432" t="s">
        <v>145</v>
      </c>
      <c r="U432">
        <v>846</v>
      </c>
      <c r="V432">
        <v>1</v>
      </c>
      <c r="W432"/>
    </row>
    <row r="433" spans="1:23" x14ac:dyDescent="0.3">
      <c r="A433">
        <v>432</v>
      </c>
      <c r="B433" s="1">
        <v>45841</v>
      </c>
      <c r="C433" t="s">
        <v>160</v>
      </c>
      <c r="D433">
        <v>2025</v>
      </c>
      <c r="E433" t="s">
        <v>15</v>
      </c>
      <c r="F433" t="s">
        <v>7</v>
      </c>
      <c r="G433" t="s">
        <v>16</v>
      </c>
      <c r="H433" t="s">
        <v>58</v>
      </c>
      <c r="I433" t="s">
        <v>59</v>
      </c>
      <c r="J433" t="s">
        <v>60</v>
      </c>
      <c r="K433" s="2">
        <v>2</v>
      </c>
      <c r="L433" t="s">
        <v>143</v>
      </c>
      <c r="M433" s="3">
        <v>800</v>
      </c>
      <c r="N433" t="s">
        <v>47</v>
      </c>
      <c r="O433" t="s">
        <v>6</v>
      </c>
      <c r="P433" t="s">
        <v>115</v>
      </c>
      <c r="Q433" t="s">
        <v>144</v>
      </c>
      <c r="R433" s="3">
        <v>1600</v>
      </c>
      <c r="S433" s="4">
        <v>80</v>
      </c>
      <c r="T433" t="s">
        <v>149</v>
      </c>
      <c r="U433">
        <v>1520</v>
      </c>
      <c r="V433">
        <v>1</v>
      </c>
      <c r="W433"/>
    </row>
    <row r="434" spans="1:23" x14ac:dyDescent="0.3">
      <c r="A434">
        <v>433</v>
      </c>
      <c r="B434" s="1">
        <v>45872</v>
      </c>
      <c r="C434" t="s">
        <v>154</v>
      </c>
      <c r="D434">
        <v>2025</v>
      </c>
      <c r="E434" t="s">
        <v>5</v>
      </c>
      <c r="F434" t="s">
        <v>7</v>
      </c>
      <c r="G434" t="s">
        <v>6</v>
      </c>
      <c r="H434" t="s">
        <v>62</v>
      </c>
      <c r="I434" t="s">
        <v>63</v>
      </c>
      <c r="J434" t="s">
        <v>64</v>
      </c>
      <c r="K434" s="2">
        <v>4</v>
      </c>
      <c r="L434" t="s">
        <v>143</v>
      </c>
      <c r="M434" s="3">
        <v>150</v>
      </c>
      <c r="N434" t="s">
        <v>49</v>
      </c>
      <c r="O434" t="s">
        <v>6</v>
      </c>
      <c r="P434" t="s">
        <v>117</v>
      </c>
      <c r="Q434" t="s">
        <v>144</v>
      </c>
      <c r="R434" s="3">
        <v>600</v>
      </c>
      <c r="S434" s="4">
        <v>30</v>
      </c>
      <c r="T434" t="s">
        <v>145</v>
      </c>
      <c r="U434">
        <v>570</v>
      </c>
      <c r="V434">
        <v>1</v>
      </c>
      <c r="W434"/>
    </row>
    <row r="435" spans="1:23" x14ac:dyDescent="0.3">
      <c r="A435">
        <v>434</v>
      </c>
      <c r="B435" s="1">
        <v>45903</v>
      </c>
      <c r="C435" t="s">
        <v>161</v>
      </c>
      <c r="D435">
        <v>2025</v>
      </c>
      <c r="E435" t="s">
        <v>9</v>
      </c>
      <c r="F435" t="s">
        <v>7</v>
      </c>
      <c r="G435" t="s">
        <v>10</v>
      </c>
      <c r="H435" t="s">
        <v>66</v>
      </c>
      <c r="I435" t="s">
        <v>59</v>
      </c>
      <c r="J435" t="s">
        <v>67</v>
      </c>
      <c r="K435" s="2">
        <v>1</v>
      </c>
      <c r="L435" t="s">
        <v>143</v>
      </c>
      <c r="M435" s="3">
        <v>20</v>
      </c>
      <c r="N435" t="s">
        <v>51</v>
      </c>
      <c r="O435" t="s">
        <v>6</v>
      </c>
      <c r="P435" t="s">
        <v>113</v>
      </c>
      <c r="Q435" t="s">
        <v>146</v>
      </c>
      <c r="R435" s="3">
        <v>20</v>
      </c>
      <c r="S435" s="4">
        <v>0</v>
      </c>
      <c r="T435" t="s">
        <v>145</v>
      </c>
      <c r="U435">
        <v>20</v>
      </c>
      <c r="V435">
        <v>1</v>
      </c>
      <c r="W435"/>
    </row>
    <row r="436" spans="1:23" x14ac:dyDescent="0.3">
      <c r="A436">
        <v>435</v>
      </c>
      <c r="B436" s="1">
        <v>45933</v>
      </c>
      <c r="C436" t="s">
        <v>155</v>
      </c>
      <c r="D436">
        <v>2025</v>
      </c>
      <c r="E436" t="s">
        <v>12</v>
      </c>
      <c r="F436" t="s">
        <v>7</v>
      </c>
      <c r="G436" t="s">
        <v>13</v>
      </c>
      <c r="H436" t="s">
        <v>69</v>
      </c>
      <c r="I436" t="s">
        <v>59</v>
      </c>
      <c r="J436" t="s">
        <v>67</v>
      </c>
      <c r="K436" s="2">
        <v>5</v>
      </c>
      <c r="L436" t="s">
        <v>143</v>
      </c>
      <c r="M436" s="3">
        <v>50</v>
      </c>
      <c r="N436" t="s">
        <v>45</v>
      </c>
      <c r="O436" t="s">
        <v>10</v>
      </c>
      <c r="P436" t="s">
        <v>113</v>
      </c>
      <c r="Q436" t="s">
        <v>144</v>
      </c>
      <c r="R436" s="3">
        <v>250</v>
      </c>
      <c r="S436" s="4">
        <v>17.5</v>
      </c>
      <c r="T436" t="s">
        <v>145</v>
      </c>
      <c r="U436">
        <v>232.5</v>
      </c>
      <c r="V436">
        <v>1</v>
      </c>
      <c r="W436"/>
    </row>
    <row r="437" spans="1:23" x14ac:dyDescent="0.3">
      <c r="A437">
        <v>436</v>
      </c>
      <c r="B437" s="1">
        <v>45964</v>
      </c>
      <c r="C437" t="s">
        <v>162</v>
      </c>
      <c r="D437">
        <v>2025</v>
      </c>
      <c r="E437" t="s">
        <v>15</v>
      </c>
      <c r="F437" t="s">
        <v>7</v>
      </c>
      <c r="G437" t="s">
        <v>16</v>
      </c>
      <c r="H437" t="s">
        <v>71</v>
      </c>
      <c r="I437" t="s">
        <v>63</v>
      </c>
      <c r="J437" t="s">
        <v>64</v>
      </c>
      <c r="K437" s="2">
        <v>2</v>
      </c>
      <c r="L437" t="s">
        <v>143</v>
      </c>
      <c r="M437" s="3">
        <v>300</v>
      </c>
      <c r="N437" t="s">
        <v>51</v>
      </c>
      <c r="O437" t="s">
        <v>13</v>
      </c>
      <c r="P437" t="s">
        <v>113</v>
      </c>
      <c r="Q437" t="s">
        <v>144</v>
      </c>
      <c r="R437" s="3">
        <v>600</v>
      </c>
      <c r="S437" s="4">
        <v>24</v>
      </c>
      <c r="T437" t="s">
        <v>145</v>
      </c>
      <c r="U437">
        <v>576</v>
      </c>
      <c r="V437">
        <v>1</v>
      </c>
      <c r="W437"/>
    </row>
    <row r="438" spans="1:23" x14ac:dyDescent="0.3">
      <c r="A438">
        <v>437</v>
      </c>
      <c r="B438" s="1">
        <v>45994</v>
      </c>
      <c r="C438" t="s">
        <v>163</v>
      </c>
      <c r="D438">
        <v>2025</v>
      </c>
      <c r="E438" t="s">
        <v>5</v>
      </c>
      <c r="F438" t="s">
        <v>7</v>
      </c>
      <c r="G438" t="s">
        <v>6</v>
      </c>
      <c r="H438" t="s">
        <v>58</v>
      </c>
      <c r="I438" t="s">
        <v>59</v>
      </c>
      <c r="J438" t="s">
        <v>60</v>
      </c>
      <c r="K438" s="2">
        <v>3</v>
      </c>
      <c r="L438" t="s">
        <v>143</v>
      </c>
      <c r="M438" s="3">
        <v>800</v>
      </c>
      <c r="N438" t="s">
        <v>47</v>
      </c>
      <c r="O438" t="s">
        <v>16</v>
      </c>
      <c r="P438" t="s">
        <v>115</v>
      </c>
      <c r="Q438" t="s">
        <v>146</v>
      </c>
      <c r="R438" s="3">
        <v>2400</v>
      </c>
      <c r="S438" s="4">
        <v>144</v>
      </c>
      <c r="T438" t="s">
        <v>150</v>
      </c>
      <c r="U438">
        <v>2256</v>
      </c>
      <c r="V438">
        <v>1</v>
      </c>
      <c r="W438"/>
    </row>
    <row r="439" spans="1:23" x14ac:dyDescent="0.3">
      <c r="A439">
        <v>438</v>
      </c>
      <c r="B439" s="1">
        <v>45729</v>
      </c>
      <c r="C439" t="s">
        <v>158</v>
      </c>
      <c r="D439">
        <v>2025</v>
      </c>
      <c r="E439" t="s">
        <v>9</v>
      </c>
      <c r="F439" t="s">
        <v>7</v>
      </c>
      <c r="G439" t="s">
        <v>10</v>
      </c>
      <c r="H439" t="s">
        <v>62</v>
      </c>
      <c r="I439" t="s">
        <v>63</v>
      </c>
      <c r="J439" t="s">
        <v>64</v>
      </c>
      <c r="K439" s="2">
        <v>2</v>
      </c>
      <c r="L439" t="s">
        <v>143</v>
      </c>
      <c r="M439" s="3">
        <v>150</v>
      </c>
      <c r="N439" t="s">
        <v>49</v>
      </c>
      <c r="O439" t="s">
        <v>6</v>
      </c>
      <c r="P439" t="s">
        <v>117</v>
      </c>
      <c r="Q439" t="s">
        <v>144</v>
      </c>
      <c r="R439" s="3">
        <v>300</v>
      </c>
      <c r="S439" s="4">
        <v>15</v>
      </c>
      <c r="T439" t="s">
        <v>145</v>
      </c>
      <c r="U439">
        <v>285</v>
      </c>
      <c r="V439">
        <v>1</v>
      </c>
      <c r="W439"/>
    </row>
    <row r="440" spans="1:23" x14ac:dyDescent="0.3">
      <c r="A440">
        <v>439</v>
      </c>
      <c r="B440" s="1">
        <v>45730</v>
      </c>
      <c r="C440" t="s">
        <v>158</v>
      </c>
      <c r="D440">
        <v>2025</v>
      </c>
      <c r="E440" t="s">
        <v>12</v>
      </c>
      <c r="F440" t="s">
        <v>7</v>
      </c>
      <c r="G440" t="s">
        <v>13</v>
      </c>
      <c r="H440" t="s">
        <v>66</v>
      </c>
      <c r="I440" t="s">
        <v>59</v>
      </c>
      <c r="J440" t="s">
        <v>67</v>
      </c>
      <c r="K440" s="2">
        <v>4</v>
      </c>
      <c r="L440" t="s">
        <v>143</v>
      </c>
      <c r="M440" s="3">
        <v>20</v>
      </c>
      <c r="N440" t="s">
        <v>51</v>
      </c>
      <c r="O440" t="s">
        <v>6</v>
      </c>
      <c r="P440" t="s">
        <v>113</v>
      </c>
      <c r="Q440" t="s">
        <v>144</v>
      </c>
      <c r="R440" s="3">
        <v>80</v>
      </c>
      <c r="S440" s="4">
        <v>4</v>
      </c>
      <c r="T440" t="s">
        <v>145</v>
      </c>
      <c r="U440">
        <v>76</v>
      </c>
      <c r="V440">
        <v>1</v>
      </c>
      <c r="W440"/>
    </row>
    <row r="441" spans="1:23" x14ac:dyDescent="0.3">
      <c r="A441">
        <v>440</v>
      </c>
      <c r="B441" s="1">
        <v>45731</v>
      </c>
      <c r="C441" t="s">
        <v>158</v>
      </c>
      <c r="D441">
        <v>2025</v>
      </c>
      <c r="E441" t="s">
        <v>15</v>
      </c>
      <c r="F441" t="s">
        <v>7</v>
      </c>
      <c r="G441" t="s">
        <v>16</v>
      </c>
      <c r="H441" t="s">
        <v>69</v>
      </c>
      <c r="I441" t="s">
        <v>59</v>
      </c>
      <c r="J441" t="s">
        <v>67</v>
      </c>
      <c r="K441" s="2">
        <v>1</v>
      </c>
      <c r="L441" t="s">
        <v>143</v>
      </c>
      <c r="M441" s="3">
        <v>50</v>
      </c>
      <c r="N441" t="s">
        <v>45</v>
      </c>
      <c r="O441" t="s">
        <v>13</v>
      </c>
      <c r="P441" t="s">
        <v>113</v>
      </c>
      <c r="Q441" t="s">
        <v>146</v>
      </c>
      <c r="R441" s="3">
        <v>50</v>
      </c>
      <c r="S441" s="4">
        <v>0</v>
      </c>
      <c r="T441" t="s">
        <v>145</v>
      </c>
      <c r="U441">
        <v>50</v>
      </c>
      <c r="V441">
        <v>1</v>
      </c>
      <c r="W441"/>
    </row>
    <row r="442" spans="1:23" x14ac:dyDescent="0.3">
      <c r="A442">
        <v>441</v>
      </c>
      <c r="B442" s="1">
        <v>45732</v>
      </c>
      <c r="C442" t="s">
        <v>158</v>
      </c>
      <c r="D442">
        <v>2025</v>
      </c>
      <c r="E442" t="s">
        <v>5</v>
      </c>
      <c r="F442" t="s">
        <v>7</v>
      </c>
      <c r="G442" t="s">
        <v>6</v>
      </c>
      <c r="H442" t="s">
        <v>71</v>
      </c>
      <c r="I442" t="s">
        <v>63</v>
      </c>
      <c r="J442" t="s">
        <v>64</v>
      </c>
      <c r="K442" s="2">
        <v>5</v>
      </c>
      <c r="L442" t="s">
        <v>143</v>
      </c>
      <c r="M442" s="3">
        <v>300</v>
      </c>
      <c r="N442" t="s">
        <v>51</v>
      </c>
      <c r="O442" t="s">
        <v>16</v>
      </c>
      <c r="P442" t="s">
        <v>113</v>
      </c>
      <c r="Q442" t="s">
        <v>144</v>
      </c>
      <c r="R442" s="3">
        <v>1500</v>
      </c>
      <c r="S442" s="4">
        <v>90</v>
      </c>
      <c r="T442" t="s">
        <v>149</v>
      </c>
      <c r="U442">
        <v>1410</v>
      </c>
      <c r="V442">
        <v>1</v>
      </c>
      <c r="W442"/>
    </row>
    <row r="443" spans="1:23" x14ac:dyDescent="0.3">
      <c r="A443">
        <v>442</v>
      </c>
      <c r="B443" s="1">
        <v>45733</v>
      </c>
      <c r="C443" t="s">
        <v>158</v>
      </c>
      <c r="D443">
        <v>2025</v>
      </c>
      <c r="E443" t="s">
        <v>9</v>
      </c>
      <c r="F443" t="s">
        <v>7</v>
      </c>
      <c r="G443" t="s">
        <v>10</v>
      </c>
      <c r="H443" t="s">
        <v>58</v>
      </c>
      <c r="I443" t="s">
        <v>59</v>
      </c>
      <c r="J443" t="s">
        <v>60</v>
      </c>
      <c r="K443" s="2">
        <v>2</v>
      </c>
      <c r="L443" t="s">
        <v>143</v>
      </c>
      <c r="M443" s="3">
        <v>800</v>
      </c>
      <c r="N443" t="s">
        <v>47</v>
      </c>
      <c r="O443" t="s">
        <v>6</v>
      </c>
      <c r="P443" t="s">
        <v>115</v>
      </c>
      <c r="Q443" t="s">
        <v>146</v>
      </c>
      <c r="R443" s="3">
        <v>1600</v>
      </c>
      <c r="S443" s="4">
        <v>80</v>
      </c>
      <c r="T443" t="s">
        <v>149</v>
      </c>
      <c r="U443">
        <v>1520</v>
      </c>
      <c r="V443">
        <v>1</v>
      </c>
      <c r="W443"/>
    </row>
    <row r="444" spans="1:23" x14ac:dyDescent="0.3">
      <c r="A444">
        <v>443</v>
      </c>
      <c r="B444" s="1">
        <v>45734</v>
      </c>
      <c r="C444" t="s">
        <v>158</v>
      </c>
      <c r="D444">
        <v>2025</v>
      </c>
      <c r="E444" t="s">
        <v>12</v>
      </c>
      <c r="F444" t="s">
        <v>7</v>
      </c>
      <c r="G444" t="s">
        <v>13</v>
      </c>
      <c r="H444" t="s">
        <v>62</v>
      </c>
      <c r="I444" t="s">
        <v>63</v>
      </c>
      <c r="J444" t="s">
        <v>64</v>
      </c>
      <c r="K444" s="2">
        <v>3</v>
      </c>
      <c r="L444" t="s">
        <v>143</v>
      </c>
      <c r="M444" s="3">
        <v>150</v>
      </c>
      <c r="N444" t="s">
        <v>49</v>
      </c>
      <c r="O444" t="s">
        <v>6</v>
      </c>
      <c r="P444" t="s">
        <v>117</v>
      </c>
      <c r="Q444" t="s">
        <v>144</v>
      </c>
      <c r="R444" s="3">
        <v>450</v>
      </c>
      <c r="S444" s="4">
        <v>22.5</v>
      </c>
      <c r="T444" t="s">
        <v>145</v>
      </c>
      <c r="U444">
        <v>427.5</v>
      </c>
      <c r="V444">
        <v>1</v>
      </c>
      <c r="W444"/>
    </row>
    <row r="445" spans="1:23" x14ac:dyDescent="0.3">
      <c r="A445">
        <v>444</v>
      </c>
      <c r="B445" s="1">
        <v>45735</v>
      </c>
      <c r="C445" t="s">
        <v>158</v>
      </c>
      <c r="D445">
        <v>2025</v>
      </c>
      <c r="E445" t="s">
        <v>15</v>
      </c>
      <c r="F445" t="s">
        <v>7</v>
      </c>
      <c r="G445" t="s">
        <v>16</v>
      </c>
      <c r="H445" t="s">
        <v>66</v>
      </c>
      <c r="I445" t="s">
        <v>59</v>
      </c>
      <c r="J445" t="s">
        <v>67</v>
      </c>
      <c r="K445" s="2">
        <v>2</v>
      </c>
      <c r="L445" t="s">
        <v>143</v>
      </c>
      <c r="M445" s="3">
        <v>20</v>
      </c>
      <c r="N445" t="s">
        <v>51</v>
      </c>
      <c r="O445" t="s">
        <v>6</v>
      </c>
      <c r="P445" t="s">
        <v>113</v>
      </c>
      <c r="Q445" t="s">
        <v>144</v>
      </c>
      <c r="R445" s="3">
        <v>40</v>
      </c>
      <c r="S445" s="4">
        <v>2</v>
      </c>
      <c r="T445" t="s">
        <v>145</v>
      </c>
      <c r="U445">
        <v>38</v>
      </c>
      <c r="V445">
        <v>1</v>
      </c>
      <c r="W445"/>
    </row>
    <row r="446" spans="1:23" x14ac:dyDescent="0.3">
      <c r="A446">
        <v>445</v>
      </c>
      <c r="B446" s="1">
        <v>45736</v>
      </c>
      <c r="C446" t="s">
        <v>158</v>
      </c>
      <c r="D446">
        <v>2025</v>
      </c>
      <c r="E446" t="s">
        <v>5</v>
      </c>
      <c r="F446" t="s">
        <v>7</v>
      </c>
      <c r="G446" t="s">
        <v>6</v>
      </c>
      <c r="H446" t="s">
        <v>69</v>
      </c>
      <c r="I446" t="s">
        <v>59</v>
      </c>
      <c r="J446" t="s">
        <v>67</v>
      </c>
      <c r="K446" s="2">
        <v>4</v>
      </c>
      <c r="L446" t="s">
        <v>143</v>
      </c>
      <c r="M446" s="3">
        <v>50</v>
      </c>
      <c r="N446" t="s">
        <v>45</v>
      </c>
      <c r="O446" t="s">
        <v>10</v>
      </c>
      <c r="P446" t="s">
        <v>113</v>
      </c>
      <c r="Q446" t="s">
        <v>146</v>
      </c>
      <c r="R446" s="3">
        <v>200</v>
      </c>
      <c r="S446" s="4">
        <v>14</v>
      </c>
      <c r="T446" t="s">
        <v>145</v>
      </c>
      <c r="U446">
        <v>186</v>
      </c>
      <c r="V446">
        <v>1</v>
      </c>
      <c r="W446"/>
    </row>
    <row r="447" spans="1:23" x14ac:dyDescent="0.3">
      <c r="A447">
        <v>446</v>
      </c>
      <c r="B447" s="1">
        <v>45737</v>
      </c>
      <c r="C447" t="s">
        <v>158</v>
      </c>
      <c r="D447">
        <v>2025</v>
      </c>
      <c r="E447" t="s">
        <v>9</v>
      </c>
      <c r="F447" t="s">
        <v>7</v>
      </c>
      <c r="G447" t="s">
        <v>10</v>
      </c>
      <c r="H447" t="s">
        <v>71</v>
      </c>
      <c r="I447" t="s">
        <v>63</v>
      </c>
      <c r="J447" t="s">
        <v>64</v>
      </c>
      <c r="K447" s="2">
        <v>1</v>
      </c>
      <c r="L447" t="s">
        <v>143</v>
      </c>
      <c r="M447" s="3">
        <v>300</v>
      </c>
      <c r="N447" t="s">
        <v>51</v>
      </c>
      <c r="O447" t="s">
        <v>13</v>
      </c>
      <c r="P447" t="s">
        <v>113</v>
      </c>
      <c r="Q447" t="s">
        <v>144</v>
      </c>
      <c r="R447" s="3">
        <v>300</v>
      </c>
      <c r="S447" s="4">
        <v>0</v>
      </c>
      <c r="T447" t="s">
        <v>145</v>
      </c>
      <c r="U447">
        <v>300</v>
      </c>
      <c r="V447">
        <v>1</v>
      </c>
      <c r="W447"/>
    </row>
    <row r="448" spans="1:23" x14ac:dyDescent="0.3">
      <c r="A448">
        <v>447</v>
      </c>
      <c r="B448" s="1">
        <v>45738</v>
      </c>
      <c r="C448" t="s">
        <v>158</v>
      </c>
      <c r="D448">
        <v>2025</v>
      </c>
      <c r="E448" t="s">
        <v>12</v>
      </c>
      <c r="F448" t="s">
        <v>7</v>
      </c>
      <c r="G448" t="s">
        <v>13</v>
      </c>
      <c r="H448" t="s">
        <v>58</v>
      </c>
      <c r="I448" t="s">
        <v>59</v>
      </c>
      <c r="J448" t="s">
        <v>60</v>
      </c>
      <c r="K448" s="2">
        <v>5</v>
      </c>
      <c r="L448" t="s">
        <v>143</v>
      </c>
      <c r="M448" s="3">
        <v>800</v>
      </c>
      <c r="N448" t="s">
        <v>47</v>
      </c>
      <c r="O448" t="s">
        <v>16</v>
      </c>
      <c r="P448" t="s">
        <v>115</v>
      </c>
      <c r="Q448" t="s">
        <v>146</v>
      </c>
      <c r="R448" s="3">
        <v>4000</v>
      </c>
      <c r="S448" s="4">
        <v>240</v>
      </c>
      <c r="T448" t="s">
        <v>150</v>
      </c>
      <c r="U448">
        <v>3760</v>
      </c>
      <c r="V448">
        <v>1</v>
      </c>
      <c r="W448"/>
    </row>
    <row r="449" spans="1:23" x14ac:dyDescent="0.3">
      <c r="A449">
        <v>448</v>
      </c>
      <c r="B449" s="1">
        <v>45739</v>
      </c>
      <c r="C449" t="s">
        <v>158</v>
      </c>
      <c r="D449">
        <v>2025</v>
      </c>
      <c r="E449" t="s">
        <v>15</v>
      </c>
      <c r="F449" t="s">
        <v>7</v>
      </c>
      <c r="G449" t="s">
        <v>16</v>
      </c>
      <c r="H449" t="s">
        <v>62</v>
      </c>
      <c r="I449" t="s">
        <v>63</v>
      </c>
      <c r="J449" t="s">
        <v>64</v>
      </c>
      <c r="K449" s="2">
        <v>2</v>
      </c>
      <c r="L449" t="s">
        <v>143</v>
      </c>
      <c r="M449" s="3">
        <v>150</v>
      </c>
      <c r="N449" t="s">
        <v>49</v>
      </c>
      <c r="O449" t="s">
        <v>6</v>
      </c>
      <c r="P449" t="s">
        <v>117</v>
      </c>
      <c r="Q449" t="s">
        <v>144</v>
      </c>
      <c r="R449" s="3">
        <v>300</v>
      </c>
      <c r="S449" s="4">
        <v>15</v>
      </c>
      <c r="T449" t="s">
        <v>145</v>
      </c>
      <c r="U449">
        <v>285</v>
      </c>
      <c r="V449">
        <v>1</v>
      </c>
      <c r="W449"/>
    </row>
    <row r="450" spans="1:23" x14ac:dyDescent="0.3">
      <c r="A450">
        <v>449</v>
      </c>
      <c r="B450" s="1">
        <v>45740</v>
      </c>
      <c r="C450" t="s">
        <v>158</v>
      </c>
      <c r="D450">
        <v>2025</v>
      </c>
      <c r="E450" t="s">
        <v>5</v>
      </c>
      <c r="F450" t="s">
        <v>7</v>
      </c>
      <c r="G450" t="s">
        <v>6</v>
      </c>
      <c r="H450" t="s">
        <v>66</v>
      </c>
      <c r="I450" t="s">
        <v>59</v>
      </c>
      <c r="J450" t="s">
        <v>67</v>
      </c>
      <c r="K450" s="2">
        <v>3</v>
      </c>
      <c r="L450" t="s">
        <v>143</v>
      </c>
      <c r="M450" s="3">
        <v>20</v>
      </c>
      <c r="N450" t="s">
        <v>51</v>
      </c>
      <c r="O450" t="s">
        <v>6</v>
      </c>
      <c r="P450" t="s">
        <v>113</v>
      </c>
      <c r="Q450" t="s">
        <v>144</v>
      </c>
      <c r="R450" s="3">
        <v>60</v>
      </c>
      <c r="S450" s="4">
        <v>3</v>
      </c>
      <c r="T450" t="s">
        <v>145</v>
      </c>
      <c r="U450">
        <v>57</v>
      </c>
      <c r="V450">
        <v>1</v>
      </c>
      <c r="W450"/>
    </row>
    <row r="451" spans="1:23" x14ac:dyDescent="0.3">
      <c r="A451">
        <v>450</v>
      </c>
      <c r="B451" s="1">
        <v>45741</v>
      </c>
      <c r="C451" t="s">
        <v>158</v>
      </c>
      <c r="D451">
        <v>2025</v>
      </c>
      <c r="E451" t="s">
        <v>9</v>
      </c>
      <c r="F451" t="s">
        <v>7</v>
      </c>
      <c r="G451" t="s">
        <v>10</v>
      </c>
      <c r="H451" t="s">
        <v>69</v>
      </c>
      <c r="I451" t="s">
        <v>59</v>
      </c>
      <c r="J451" t="s">
        <v>67</v>
      </c>
      <c r="K451" s="2">
        <v>2</v>
      </c>
      <c r="L451" t="s">
        <v>143</v>
      </c>
      <c r="M451" s="3">
        <v>50</v>
      </c>
      <c r="N451" t="s">
        <v>45</v>
      </c>
      <c r="O451" t="s">
        <v>13</v>
      </c>
      <c r="P451" t="s">
        <v>113</v>
      </c>
      <c r="Q451" t="s">
        <v>146</v>
      </c>
      <c r="R451" s="3">
        <v>100</v>
      </c>
      <c r="S451" s="4">
        <v>4</v>
      </c>
      <c r="T451" t="s">
        <v>145</v>
      </c>
      <c r="U451">
        <v>96</v>
      </c>
      <c r="V451">
        <v>1</v>
      </c>
      <c r="W451"/>
    </row>
    <row r="452" spans="1:23" x14ac:dyDescent="0.3">
      <c r="A452">
        <v>451</v>
      </c>
      <c r="B452" s="1">
        <v>45742</v>
      </c>
      <c r="C452" t="s">
        <v>158</v>
      </c>
      <c r="D452">
        <v>2025</v>
      </c>
      <c r="E452" t="s">
        <v>12</v>
      </c>
      <c r="F452" t="s">
        <v>7</v>
      </c>
      <c r="G452" t="s">
        <v>13</v>
      </c>
      <c r="H452" t="s">
        <v>71</v>
      </c>
      <c r="I452" t="s">
        <v>63</v>
      </c>
      <c r="J452" t="s">
        <v>64</v>
      </c>
      <c r="K452" s="2">
        <v>4</v>
      </c>
      <c r="L452" t="s">
        <v>143</v>
      </c>
      <c r="M452" s="3">
        <v>300</v>
      </c>
      <c r="N452" t="s">
        <v>51</v>
      </c>
      <c r="O452" t="s">
        <v>16</v>
      </c>
      <c r="P452" t="s">
        <v>113</v>
      </c>
      <c r="Q452" t="s">
        <v>144</v>
      </c>
      <c r="R452" s="3">
        <v>1200</v>
      </c>
      <c r="S452" s="4">
        <v>72</v>
      </c>
      <c r="T452" t="s">
        <v>149</v>
      </c>
      <c r="U452">
        <v>1128</v>
      </c>
      <c r="V452">
        <v>1</v>
      </c>
      <c r="W452"/>
    </row>
    <row r="453" spans="1:23" x14ac:dyDescent="0.3">
      <c r="A453">
        <v>452</v>
      </c>
      <c r="B453" s="1">
        <v>45743</v>
      </c>
      <c r="C453" t="s">
        <v>158</v>
      </c>
      <c r="D453">
        <v>2025</v>
      </c>
      <c r="E453" t="s">
        <v>15</v>
      </c>
      <c r="F453" t="s">
        <v>7</v>
      </c>
      <c r="G453" t="s">
        <v>16</v>
      </c>
      <c r="H453" t="s">
        <v>58</v>
      </c>
      <c r="I453" t="s">
        <v>59</v>
      </c>
      <c r="J453" t="s">
        <v>60</v>
      </c>
      <c r="K453" s="2">
        <v>1</v>
      </c>
      <c r="L453" t="s">
        <v>143</v>
      </c>
      <c r="M453" s="3">
        <v>800</v>
      </c>
      <c r="N453" t="s">
        <v>47</v>
      </c>
      <c r="O453" t="s">
        <v>6</v>
      </c>
      <c r="P453" t="s">
        <v>115</v>
      </c>
      <c r="Q453" t="s">
        <v>146</v>
      </c>
      <c r="R453" s="3">
        <v>800</v>
      </c>
      <c r="S453" s="4">
        <v>0</v>
      </c>
      <c r="T453" t="s">
        <v>145</v>
      </c>
      <c r="U453">
        <v>800</v>
      </c>
      <c r="V453">
        <v>1</v>
      </c>
      <c r="W453"/>
    </row>
    <row r="454" spans="1:23" x14ac:dyDescent="0.3">
      <c r="A454">
        <v>453</v>
      </c>
      <c r="B454" s="1">
        <v>45744</v>
      </c>
      <c r="C454" t="s">
        <v>158</v>
      </c>
      <c r="D454">
        <v>2025</v>
      </c>
      <c r="E454" t="s">
        <v>5</v>
      </c>
      <c r="F454" t="s">
        <v>7</v>
      </c>
      <c r="G454" t="s">
        <v>6</v>
      </c>
      <c r="H454" t="s">
        <v>62</v>
      </c>
      <c r="I454" t="s">
        <v>63</v>
      </c>
      <c r="J454" t="s">
        <v>64</v>
      </c>
      <c r="K454" s="2">
        <v>3</v>
      </c>
      <c r="L454" t="s">
        <v>143</v>
      </c>
      <c r="M454" s="3">
        <v>150</v>
      </c>
      <c r="N454" t="s">
        <v>49</v>
      </c>
      <c r="O454" t="s">
        <v>6</v>
      </c>
      <c r="P454" t="s">
        <v>117</v>
      </c>
      <c r="Q454" t="s">
        <v>144</v>
      </c>
      <c r="R454" s="3">
        <v>450</v>
      </c>
      <c r="S454" s="4">
        <v>22.5</v>
      </c>
      <c r="T454" t="s">
        <v>145</v>
      </c>
      <c r="U454">
        <v>427.5</v>
      </c>
      <c r="V454">
        <v>1</v>
      </c>
      <c r="W454"/>
    </row>
    <row r="455" spans="1:23" x14ac:dyDescent="0.3">
      <c r="A455">
        <v>454</v>
      </c>
      <c r="B455" s="1">
        <v>45745</v>
      </c>
      <c r="C455" t="s">
        <v>158</v>
      </c>
      <c r="D455">
        <v>2025</v>
      </c>
      <c r="E455" t="s">
        <v>9</v>
      </c>
      <c r="F455" t="s">
        <v>7</v>
      </c>
      <c r="G455" t="s">
        <v>10</v>
      </c>
      <c r="H455" t="s">
        <v>66</v>
      </c>
      <c r="I455" t="s">
        <v>59</v>
      </c>
      <c r="J455" t="s">
        <v>67</v>
      </c>
      <c r="K455" s="2">
        <v>2</v>
      </c>
      <c r="L455" t="s">
        <v>143</v>
      </c>
      <c r="M455" s="3">
        <v>20</v>
      </c>
      <c r="N455" t="s">
        <v>51</v>
      </c>
      <c r="O455" t="s">
        <v>6</v>
      </c>
      <c r="P455" t="s">
        <v>113</v>
      </c>
      <c r="Q455" t="s">
        <v>144</v>
      </c>
      <c r="R455" s="3">
        <v>40</v>
      </c>
      <c r="S455" s="4">
        <v>2</v>
      </c>
      <c r="T455" t="s">
        <v>145</v>
      </c>
      <c r="U455">
        <v>38</v>
      </c>
      <c r="V455">
        <v>1</v>
      </c>
      <c r="W455"/>
    </row>
    <row r="456" spans="1:23" x14ac:dyDescent="0.3">
      <c r="A456">
        <v>455</v>
      </c>
      <c r="B456" s="1">
        <v>45746</v>
      </c>
      <c r="C456" t="s">
        <v>158</v>
      </c>
      <c r="D456">
        <v>2025</v>
      </c>
      <c r="E456" t="s">
        <v>12</v>
      </c>
      <c r="F456" t="s">
        <v>7</v>
      </c>
      <c r="G456" t="s">
        <v>13</v>
      </c>
      <c r="H456" t="s">
        <v>69</v>
      </c>
      <c r="I456" t="s">
        <v>59</v>
      </c>
      <c r="J456" t="s">
        <v>67</v>
      </c>
      <c r="K456" s="2">
        <v>5</v>
      </c>
      <c r="L456" t="s">
        <v>143</v>
      </c>
      <c r="M456" s="3">
        <v>50</v>
      </c>
      <c r="N456" t="s">
        <v>45</v>
      </c>
      <c r="O456" t="s">
        <v>10</v>
      </c>
      <c r="P456" t="s">
        <v>113</v>
      </c>
      <c r="Q456" t="s">
        <v>146</v>
      </c>
      <c r="R456" s="3">
        <v>250</v>
      </c>
      <c r="S456" s="4">
        <v>17.5</v>
      </c>
      <c r="T456" t="s">
        <v>145</v>
      </c>
      <c r="U456">
        <v>232.5</v>
      </c>
      <c r="V456">
        <v>1</v>
      </c>
      <c r="W456"/>
    </row>
    <row r="457" spans="1:23" x14ac:dyDescent="0.3">
      <c r="A457">
        <v>456</v>
      </c>
      <c r="B457" s="1">
        <v>45747</v>
      </c>
      <c r="C457" t="s">
        <v>158</v>
      </c>
      <c r="D457">
        <v>2025</v>
      </c>
      <c r="E457" t="s">
        <v>15</v>
      </c>
      <c r="F457" t="s">
        <v>7</v>
      </c>
      <c r="G457" t="s">
        <v>16</v>
      </c>
      <c r="H457" t="s">
        <v>71</v>
      </c>
      <c r="I457" t="s">
        <v>63</v>
      </c>
      <c r="J457" t="s">
        <v>64</v>
      </c>
      <c r="K457" s="2">
        <v>1</v>
      </c>
      <c r="L457" t="s">
        <v>143</v>
      </c>
      <c r="M457" s="3">
        <v>300</v>
      </c>
      <c r="N457" t="s">
        <v>51</v>
      </c>
      <c r="O457" t="s">
        <v>13</v>
      </c>
      <c r="P457" t="s">
        <v>113</v>
      </c>
      <c r="Q457" t="s">
        <v>144</v>
      </c>
      <c r="R457" s="3">
        <v>300</v>
      </c>
      <c r="S457" s="4">
        <v>0</v>
      </c>
      <c r="T457" t="s">
        <v>145</v>
      </c>
      <c r="U457">
        <v>300</v>
      </c>
      <c r="V457">
        <v>1</v>
      </c>
      <c r="W457"/>
    </row>
    <row r="458" spans="1:23" x14ac:dyDescent="0.3">
      <c r="A458">
        <v>457</v>
      </c>
      <c r="B458" s="1">
        <v>45661</v>
      </c>
      <c r="C458" t="s">
        <v>153</v>
      </c>
      <c r="D458">
        <v>2025</v>
      </c>
      <c r="E458" t="s">
        <v>5</v>
      </c>
      <c r="F458" t="s">
        <v>7</v>
      </c>
      <c r="G458" t="s">
        <v>6</v>
      </c>
      <c r="H458" t="s">
        <v>58</v>
      </c>
      <c r="I458" t="s">
        <v>59</v>
      </c>
      <c r="J458" t="s">
        <v>60</v>
      </c>
      <c r="K458" s="2">
        <v>2</v>
      </c>
      <c r="L458" t="s">
        <v>143</v>
      </c>
      <c r="M458" s="3">
        <v>800</v>
      </c>
      <c r="N458" t="s">
        <v>47</v>
      </c>
      <c r="O458" t="s">
        <v>16</v>
      </c>
      <c r="P458" t="s">
        <v>115</v>
      </c>
      <c r="Q458" t="s">
        <v>146</v>
      </c>
      <c r="R458" s="3">
        <v>1600</v>
      </c>
      <c r="S458" s="4">
        <v>0</v>
      </c>
      <c r="T458" t="s">
        <v>149</v>
      </c>
      <c r="U458">
        <v>1600</v>
      </c>
      <c r="V458">
        <v>1</v>
      </c>
      <c r="W458"/>
    </row>
    <row r="459" spans="1:23" x14ac:dyDescent="0.3">
      <c r="A459">
        <v>458</v>
      </c>
      <c r="B459" s="1">
        <v>45692</v>
      </c>
      <c r="C459" t="s">
        <v>157</v>
      </c>
      <c r="D459">
        <v>2025</v>
      </c>
      <c r="E459" t="s">
        <v>9</v>
      </c>
      <c r="F459" t="s">
        <v>7</v>
      </c>
      <c r="G459" t="s">
        <v>10</v>
      </c>
      <c r="H459" t="s">
        <v>62</v>
      </c>
      <c r="I459" t="s">
        <v>63</v>
      </c>
      <c r="J459" t="s">
        <v>64</v>
      </c>
      <c r="K459" s="2">
        <v>4</v>
      </c>
      <c r="L459" t="s">
        <v>143</v>
      </c>
      <c r="M459" s="3">
        <v>150</v>
      </c>
      <c r="N459" t="s">
        <v>49</v>
      </c>
      <c r="O459" t="s">
        <v>6</v>
      </c>
      <c r="P459" t="s">
        <v>117</v>
      </c>
      <c r="Q459" t="s">
        <v>144</v>
      </c>
      <c r="R459" s="3">
        <v>600</v>
      </c>
      <c r="S459" s="4">
        <v>30</v>
      </c>
      <c r="T459" t="s">
        <v>145</v>
      </c>
      <c r="U459">
        <v>570</v>
      </c>
      <c r="V459">
        <v>1</v>
      </c>
      <c r="W459"/>
    </row>
    <row r="460" spans="1:23" x14ac:dyDescent="0.3">
      <c r="A460">
        <v>459</v>
      </c>
      <c r="B460" s="1">
        <v>45720</v>
      </c>
      <c r="C460" t="s">
        <v>158</v>
      </c>
      <c r="D460">
        <v>2025</v>
      </c>
      <c r="E460" t="s">
        <v>12</v>
      </c>
      <c r="F460" t="s">
        <v>7</v>
      </c>
      <c r="G460" t="s">
        <v>13</v>
      </c>
      <c r="H460" t="s">
        <v>66</v>
      </c>
      <c r="I460" t="s">
        <v>59</v>
      </c>
      <c r="J460" t="s">
        <v>67</v>
      </c>
      <c r="K460" s="2">
        <v>3</v>
      </c>
      <c r="L460" t="s">
        <v>143</v>
      </c>
      <c r="M460" s="3">
        <v>20</v>
      </c>
      <c r="N460" t="s">
        <v>51</v>
      </c>
      <c r="O460" t="s">
        <v>6</v>
      </c>
      <c r="P460" t="s">
        <v>113</v>
      </c>
      <c r="Q460" t="s">
        <v>144</v>
      </c>
      <c r="R460" s="3">
        <v>60</v>
      </c>
      <c r="S460" s="4">
        <v>3</v>
      </c>
      <c r="T460" t="s">
        <v>145</v>
      </c>
      <c r="U460">
        <v>57</v>
      </c>
      <c r="V460">
        <v>1</v>
      </c>
      <c r="W460"/>
    </row>
    <row r="461" spans="1:23" x14ac:dyDescent="0.3">
      <c r="A461">
        <v>460</v>
      </c>
      <c r="B461" s="1">
        <v>45751</v>
      </c>
      <c r="C461" t="s">
        <v>156</v>
      </c>
      <c r="D461">
        <v>2025</v>
      </c>
      <c r="E461" t="s">
        <v>15</v>
      </c>
      <c r="F461" t="s">
        <v>7</v>
      </c>
      <c r="G461" t="s">
        <v>16</v>
      </c>
      <c r="H461" t="s">
        <v>69</v>
      </c>
      <c r="I461" t="s">
        <v>59</v>
      </c>
      <c r="J461" t="s">
        <v>67</v>
      </c>
      <c r="K461" s="2">
        <v>2</v>
      </c>
      <c r="L461" t="s">
        <v>143</v>
      </c>
      <c r="M461" s="3">
        <v>50</v>
      </c>
      <c r="N461" t="s">
        <v>45</v>
      </c>
      <c r="O461" t="s">
        <v>13</v>
      </c>
      <c r="P461" t="s">
        <v>113</v>
      </c>
      <c r="Q461" t="s">
        <v>146</v>
      </c>
      <c r="R461" s="3">
        <v>100</v>
      </c>
      <c r="S461" s="4">
        <v>4</v>
      </c>
      <c r="T461" t="s">
        <v>145</v>
      </c>
      <c r="U461">
        <v>96</v>
      </c>
      <c r="V461">
        <v>1</v>
      </c>
      <c r="W461"/>
    </row>
    <row r="462" spans="1:23" x14ac:dyDescent="0.3">
      <c r="A462">
        <v>461</v>
      </c>
      <c r="B462" s="1">
        <v>45781</v>
      </c>
      <c r="C462" t="s">
        <v>159</v>
      </c>
      <c r="D462">
        <v>2025</v>
      </c>
      <c r="E462" t="s">
        <v>5</v>
      </c>
      <c r="F462" t="s">
        <v>7</v>
      </c>
      <c r="G462" t="s">
        <v>6</v>
      </c>
      <c r="H462" t="s">
        <v>71</v>
      </c>
      <c r="I462" t="s">
        <v>63</v>
      </c>
      <c r="J462" t="s">
        <v>64</v>
      </c>
      <c r="K462" s="2">
        <v>5</v>
      </c>
      <c r="L462" t="s">
        <v>143</v>
      </c>
      <c r="M462" s="3">
        <v>300</v>
      </c>
      <c r="N462" t="s">
        <v>51</v>
      </c>
      <c r="O462" t="s">
        <v>16</v>
      </c>
      <c r="P462" t="s">
        <v>113</v>
      </c>
      <c r="Q462" t="s">
        <v>144</v>
      </c>
      <c r="R462" s="3">
        <v>1500</v>
      </c>
      <c r="S462" s="4">
        <v>90</v>
      </c>
      <c r="T462" t="s">
        <v>149</v>
      </c>
      <c r="U462">
        <v>1410</v>
      </c>
      <c r="V462">
        <v>1</v>
      </c>
      <c r="W462"/>
    </row>
    <row r="463" spans="1:23" x14ac:dyDescent="0.3">
      <c r="A463">
        <v>462</v>
      </c>
      <c r="B463" s="1">
        <v>45812</v>
      </c>
      <c r="C463" t="s">
        <v>164</v>
      </c>
      <c r="D463">
        <v>2025</v>
      </c>
      <c r="E463" t="s">
        <v>9</v>
      </c>
      <c r="F463" t="s">
        <v>7</v>
      </c>
      <c r="G463" t="s">
        <v>10</v>
      </c>
      <c r="H463" t="s">
        <v>58</v>
      </c>
      <c r="I463" t="s">
        <v>59</v>
      </c>
      <c r="J463" t="s">
        <v>60</v>
      </c>
      <c r="K463" s="2">
        <v>2</v>
      </c>
      <c r="L463" t="s">
        <v>143</v>
      </c>
      <c r="M463" s="3">
        <v>800</v>
      </c>
      <c r="N463" t="s">
        <v>47</v>
      </c>
      <c r="O463" t="s">
        <v>6</v>
      </c>
      <c r="P463" t="s">
        <v>115</v>
      </c>
      <c r="Q463" t="s">
        <v>146</v>
      </c>
      <c r="R463" s="3">
        <v>1600</v>
      </c>
      <c r="S463" s="4">
        <v>80</v>
      </c>
      <c r="T463" t="s">
        <v>149</v>
      </c>
      <c r="U463">
        <v>1520</v>
      </c>
      <c r="V463">
        <v>1</v>
      </c>
      <c r="W463"/>
    </row>
    <row r="464" spans="1:23" x14ac:dyDescent="0.3">
      <c r="A464">
        <v>463</v>
      </c>
      <c r="B464" s="1">
        <v>45842</v>
      </c>
      <c r="C464" t="s">
        <v>160</v>
      </c>
      <c r="D464">
        <v>2025</v>
      </c>
      <c r="E464" t="s">
        <v>12</v>
      </c>
      <c r="F464" t="s">
        <v>7</v>
      </c>
      <c r="G464" t="s">
        <v>13</v>
      </c>
      <c r="H464" t="s">
        <v>62</v>
      </c>
      <c r="I464" t="s">
        <v>63</v>
      </c>
      <c r="J464" t="s">
        <v>64</v>
      </c>
      <c r="K464" s="2">
        <v>1</v>
      </c>
      <c r="L464" t="s">
        <v>143</v>
      </c>
      <c r="M464" s="3">
        <v>150</v>
      </c>
      <c r="N464" t="s">
        <v>49</v>
      </c>
      <c r="O464" t="s">
        <v>6</v>
      </c>
      <c r="P464" t="s">
        <v>117</v>
      </c>
      <c r="Q464" t="s">
        <v>144</v>
      </c>
      <c r="R464" s="3">
        <v>150</v>
      </c>
      <c r="S464" s="4">
        <v>0</v>
      </c>
      <c r="T464" t="s">
        <v>145</v>
      </c>
      <c r="U464">
        <v>150</v>
      </c>
      <c r="V464">
        <v>1</v>
      </c>
      <c r="W464"/>
    </row>
    <row r="465" spans="1:23" x14ac:dyDescent="0.3">
      <c r="A465">
        <v>464</v>
      </c>
      <c r="B465" s="1">
        <v>45873</v>
      </c>
      <c r="C465" t="s">
        <v>154</v>
      </c>
      <c r="D465">
        <v>2025</v>
      </c>
      <c r="E465" t="s">
        <v>15</v>
      </c>
      <c r="F465" t="s">
        <v>7</v>
      </c>
      <c r="G465" t="s">
        <v>16</v>
      </c>
      <c r="H465" t="s">
        <v>66</v>
      </c>
      <c r="I465" t="s">
        <v>59</v>
      </c>
      <c r="J465" t="s">
        <v>67</v>
      </c>
      <c r="K465" s="2">
        <v>4</v>
      </c>
      <c r="L465" t="s">
        <v>143</v>
      </c>
      <c r="M465" s="3">
        <v>20</v>
      </c>
      <c r="N465" t="s">
        <v>51</v>
      </c>
      <c r="O465" t="s">
        <v>6</v>
      </c>
      <c r="P465" t="s">
        <v>113</v>
      </c>
      <c r="Q465" t="s">
        <v>144</v>
      </c>
      <c r="R465" s="3">
        <v>80</v>
      </c>
      <c r="S465" s="4">
        <v>4</v>
      </c>
      <c r="T465" t="s">
        <v>145</v>
      </c>
      <c r="U465">
        <v>76</v>
      </c>
      <c r="V465">
        <v>1</v>
      </c>
      <c r="W465"/>
    </row>
    <row r="466" spans="1:23" x14ac:dyDescent="0.3">
      <c r="A466">
        <v>465</v>
      </c>
      <c r="B466" s="1">
        <v>45904</v>
      </c>
      <c r="C466" t="s">
        <v>161</v>
      </c>
      <c r="D466">
        <v>2025</v>
      </c>
      <c r="E466" t="s">
        <v>5</v>
      </c>
      <c r="F466" t="s">
        <v>7</v>
      </c>
      <c r="G466" t="s">
        <v>6</v>
      </c>
      <c r="H466" t="s">
        <v>69</v>
      </c>
      <c r="I466" t="s">
        <v>59</v>
      </c>
      <c r="J466" t="s">
        <v>67</v>
      </c>
      <c r="K466" s="2">
        <v>3</v>
      </c>
      <c r="L466" t="s">
        <v>143</v>
      </c>
      <c r="M466" s="3">
        <v>50</v>
      </c>
      <c r="N466" t="s">
        <v>45</v>
      </c>
      <c r="O466" t="s">
        <v>10</v>
      </c>
      <c r="P466" t="s">
        <v>113</v>
      </c>
      <c r="Q466" t="s">
        <v>146</v>
      </c>
      <c r="R466" s="3">
        <v>150</v>
      </c>
      <c r="S466" s="4">
        <v>10.5</v>
      </c>
      <c r="T466" t="s">
        <v>145</v>
      </c>
      <c r="U466">
        <v>139.5</v>
      </c>
      <c r="V466">
        <v>1</v>
      </c>
      <c r="W466"/>
    </row>
    <row r="467" spans="1:23" x14ac:dyDescent="0.3">
      <c r="A467">
        <v>466</v>
      </c>
      <c r="B467" s="1">
        <v>45934</v>
      </c>
      <c r="C467" t="s">
        <v>155</v>
      </c>
      <c r="D467">
        <v>2025</v>
      </c>
      <c r="E467" t="s">
        <v>9</v>
      </c>
      <c r="F467" t="s">
        <v>7</v>
      </c>
      <c r="G467" t="s">
        <v>10</v>
      </c>
      <c r="H467" t="s">
        <v>71</v>
      </c>
      <c r="I467" t="s">
        <v>63</v>
      </c>
      <c r="J467" t="s">
        <v>64</v>
      </c>
      <c r="K467" s="2">
        <v>2</v>
      </c>
      <c r="L467" t="s">
        <v>143</v>
      </c>
      <c r="M467" s="3">
        <v>300</v>
      </c>
      <c r="N467" t="s">
        <v>51</v>
      </c>
      <c r="O467" t="s">
        <v>13</v>
      </c>
      <c r="P467" t="s">
        <v>113</v>
      </c>
      <c r="Q467" t="s">
        <v>144</v>
      </c>
      <c r="R467" s="3">
        <v>600</v>
      </c>
      <c r="S467" s="4">
        <v>24</v>
      </c>
      <c r="T467" t="s">
        <v>145</v>
      </c>
      <c r="U467">
        <v>576</v>
      </c>
      <c r="V467">
        <v>1</v>
      </c>
      <c r="W467"/>
    </row>
    <row r="468" spans="1:23" x14ac:dyDescent="0.3">
      <c r="A468">
        <v>467</v>
      </c>
      <c r="B468" s="1">
        <v>45965</v>
      </c>
      <c r="C468" t="s">
        <v>162</v>
      </c>
      <c r="D468">
        <v>2025</v>
      </c>
      <c r="E468" t="s">
        <v>12</v>
      </c>
      <c r="F468" t="s">
        <v>7</v>
      </c>
      <c r="G468" t="s">
        <v>13</v>
      </c>
      <c r="H468" t="s">
        <v>58</v>
      </c>
      <c r="I468" t="s">
        <v>59</v>
      </c>
      <c r="J468" t="s">
        <v>60</v>
      </c>
      <c r="K468" s="2">
        <v>5</v>
      </c>
      <c r="L468" t="s">
        <v>143</v>
      </c>
      <c r="M468" s="3">
        <v>800</v>
      </c>
      <c r="N468" t="s">
        <v>47</v>
      </c>
      <c r="O468" t="s">
        <v>16</v>
      </c>
      <c r="P468" t="s">
        <v>115</v>
      </c>
      <c r="Q468" t="s">
        <v>146</v>
      </c>
      <c r="R468" s="3">
        <v>4000</v>
      </c>
      <c r="S468" s="4">
        <v>240</v>
      </c>
      <c r="T468" t="s">
        <v>150</v>
      </c>
      <c r="U468">
        <v>3760</v>
      </c>
      <c r="V468">
        <v>1</v>
      </c>
      <c r="W468"/>
    </row>
    <row r="469" spans="1:23" x14ac:dyDescent="0.3">
      <c r="A469">
        <v>468</v>
      </c>
      <c r="B469" s="1">
        <v>45995</v>
      </c>
      <c r="C469" t="s">
        <v>163</v>
      </c>
      <c r="D469">
        <v>2025</v>
      </c>
      <c r="E469" t="s">
        <v>15</v>
      </c>
      <c r="F469" t="s">
        <v>7</v>
      </c>
      <c r="G469" t="s">
        <v>16</v>
      </c>
      <c r="H469" t="s">
        <v>62</v>
      </c>
      <c r="I469" t="s">
        <v>63</v>
      </c>
      <c r="J469" t="s">
        <v>64</v>
      </c>
      <c r="K469" s="2">
        <v>3</v>
      </c>
      <c r="L469" t="s">
        <v>143</v>
      </c>
      <c r="M469" s="3">
        <v>150</v>
      </c>
      <c r="N469" t="s">
        <v>49</v>
      </c>
      <c r="O469" t="s">
        <v>6</v>
      </c>
      <c r="P469" t="s">
        <v>117</v>
      </c>
      <c r="Q469" t="s">
        <v>144</v>
      </c>
      <c r="R469" s="3">
        <v>450</v>
      </c>
      <c r="S469" s="4">
        <v>22.5</v>
      </c>
      <c r="T469" t="s">
        <v>145</v>
      </c>
      <c r="U469">
        <v>427.5</v>
      </c>
      <c r="V469">
        <v>1</v>
      </c>
      <c r="W469"/>
    </row>
    <row r="470" spans="1:23" x14ac:dyDescent="0.3">
      <c r="A470">
        <v>469</v>
      </c>
      <c r="B470" s="1">
        <v>45760</v>
      </c>
      <c r="C470" t="s">
        <v>156</v>
      </c>
      <c r="D470">
        <v>2025</v>
      </c>
      <c r="E470" t="s">
        <v>5</v>
      </c>
      <c r="F470" t="s">
        <v>7</v>
      </c>
      <c r="G470" t="s">
        <v>6</v>
      </c>
      <c r="H470" t="s">
        <v>66</v>
      </c>
      <c r="I470" t="s">
        <v>59</v>
      </c>
      <c r="J470" t="s">
        <v>67</v>
      </c>
      <c r="K470" s="2">
        <v>1</v>
      </c>
      <c r="L470" t="s">
        <v>143</v>
      </c>
      <c r="M470" s="3">
        <v>20</v>
      </c>
      <c r="N470" t="s">
        <v>51</v>
      </c>
      <c r="O470" t="s">
        <v>6</v>
      </c>
      <c r="P470" t="s">
        <v>113</v>
      </c>
      <c r="Q470" t="s">
        <v>144</v>
      </c>
      <c r="R470" s="3">
        <v>20</v>
      </c>
      <c r="S470" s="4">
        <v>0</v>
      </c>
      <c r="T470" t="s">
        <v>145</v>
      </c>
      <c r="U470">
        <v>20</v>
      </c>
      <c r="V470">
        <v>1</v>
      </c>
      <c r="W470"/>
    </row>
    <row r="471" spans="1:23" x14ac:dyDescent="0.3">
      <c r="A471">
        <v>470</v>
      </c>
      <c r="B471" s="1">
        <v>45761</v>
      </c>
      <c r="C471" t="s">
        <v>156</v>
      </c>
      <c r="D471">
        <v>2025</v>
      </c>
      <c r="E471" t="s">
        <v>9</v>
      </c>
      <c r="F471" t="s">
        <v>7</v>
      </c>
      <c r="G471" t="s">
        <v>10</v>
      </c>
      <c r="H471" t="s">
        <v>69</v>
      </c>
      <c r="I471" t="s">
        <v>59</v>
      </c>
      <c r="J471" t="s">
        <v>67</v>
      </c>
      <c r="K471" s="2">
        <v>4</v>
      </c>
      <c r="L471" t="s">
        <v>143</v>
      </c>
      <c r="M471" s="3">
        <v>50</v>
      </c>
      <c r="N471" t="s">
        <v>45</v>
      </c>
      <c r="O471" t="s">
        <v>13</v>
      </c>
      <c r="P471" t="s">
        <v>113</v>
      </c>
      <c r="Q471" t="s">
        <v>146</v>
      </c>
      <c r="R471" s="3">
        <v>200</v>
      </c>
      <c r="S471" s="4">
        <v>8</v>
      </c>
      <c r="T471" t="s">
        <v>145</v>
      </c>
      <c r="U471">
        <v>192</v>
      </c>
      <c r="V471">
        <v>1</v>
      </c>
      <c r="W471"/>
    </row>
    <row r="472" spans="1:23" x14ac:dyDescent="0.3">
      <c r="A472">
        <v>471</v>
      </c>
      <c r="B472" s="1">
        <v>45762</v>
      </c>
      <c r="C472" t="s">
        <v>156</v>
      </c>
      <c r="D472">
        <v>2025</v>
      </c>
      <c r="E472" t="s">
        <v>12</v>
      </c>
      <c r="F472" t="s">
        <v>7</v>
      </c>
      <c r="G472" t="s">
        <v>13</v>
      </c>
      <c r="H472" t="s">
        <v>71</v>
      </c>
      <c r="I472" t="s">
        <v>63</v>
      </c>
      <c r="J472" t="s">
        <v>64</v>
      </c>
      <c r="K472" s="2">
        <v>2</v>
      </c>
      <c r="L472" t="s">
        <v>143</v>
      </c>
      <c r="M472" s="3">
        <v>300</v>
      </c>
      <c r="N472" t="s">
        <v>51</v>
      </c>
      <c r="O472" t="s">
        <v>16</v>
      </c>
      <c r="P472" t="s">
        <v>113</v>
      </c>
      <c r="Q472" t="s">
        <v>144</v>
      </c>
      <c r="R472" s="3">
        <v>600</v>
      </c>
      <c r="S472" s="4">
        <v>0</v>
      </c>
      <c r="T472" t="s">
        <v>145</v>
      </c>
      <c r="U472">
        <v>600</v>
      </c>
      <c r="V472">
        <v>1</v>
      </c>
      <c r="W472"/>
    </row>
    <row r="473" spans="1:23" x14ac:dyDescent="0.3">
      <c r="A473">
        <v>472</v>
      </c>
      <c r="B473" s="1">
        <v>45763</v>
      </c>
      <c r="C473" t="s">
        <v>156</v>
      </c>
      <c r="D473">
        <v>2025</v>
      </c>
      <c r="E473" t="s">
        <v>15</v>
      </c>
      <c r="F473" t="s">
        <v>7</v>
      </c>
      <c r="G473" t="s">
        <v>16</v>
      </c>
      <c r="H473" t="s">
        <v>58</v>
      </c>
      <c r="I473" t="s">
        <v>59</v>
      </c>
      <c r="J473" t="s">
        <v>60</v>
      </c>
      <c r="K473" s="2">
        <v>3</v>
      </c>
      <c r="L473" t="s">
        <v>143</v>
      </c>
      <c r="M473" s="3">
        <v>800</v>
      </c>
      <c r="N473" t="s">
        <v>47</v>
      </c>
      <c r="O473" t="s">
        <v>6</v>
      </c>
      <c r="P473" t="s">
        <v>115</v>
      </c>
      <c r="Q473" t="s">
        <v>146</v>
      </c>
      <c r="R473" s="3">
        <v>2400</v>
      </c>
      <c r="S473" s="4">
        <v>120</v>
      </c>
      <c r="T473" t="s">
        <v>150</v>
      </c>
      <c r="U473">
        <v>2280</v>
      </c>
      <c r="V473">
        <v>1</v>
      </c>
      <c r="W473"/>
    </row>
    <row r="474" spans="1:23" x14ac:dyDescent="0.3">
      <c r="A474">
        <v>473</v>
      </c>
      <c r="B474" s="1">
        <v>45764</v>
      </c>
      <c r="C474" t="s">
        <v>156</v>
      </c>
      <c r="D474">
        <v>2025</v>
      </c>
      <c r="E474" t="s">
        <v>5</v>
      </c>
      <c r="F474" t="s">
        <v>7</v>
      </c>
      <c r="G474" t="s">
        <v>6</v>
      </c>
      <c r="H474" t="s">
        <v>62</v>
      </c>
      <c r="I474" t="s">
        <v>63</v>
      </c>
      <c r="J474" t="s">
        <v>64</v>
      </c>
      <c r="K474" s="2">
        <v>2</v>
      </c>
      <c r="L474" t="s">
        <v>143</v>
      </c>
      <c r="M474" s="3">
        <v>150</v>
      </c>
      <c r="N474" t="s">
        <v>49</v>
      </c>
      <c r="O474" t="s">
        <v>6</v>
      </c>
      <c r="P474" t="s">
        <v>117</v>
      </c>
      <c r="Q474" t="s">
        <v>144</v>
      </c>
      <c r="R474" s="3">
        <v>300</v>
      </c>
      <c r="S474" s="4">
        <v>15</v>
      </c>
      <c r="T474" t="s">
        <v>145</v>
      </c>
      <c r="U474">
        <v>285</v>
      </c>
      <c r="V474">
        <v>1</v>
      </c>
      <c r="W474"/>
    </row>
    <row r="475" spans="1:23" x14ac:dyDescent="0.3">
      <c r="A475">
        <v>474</v>
      </c>
      <c r="B475" s="1">
        <v>45765</v>
      </c>
      <c r="C475" t="s">
        <v>156</v>
      </c>
      <c r="D475">
        <v>2025</v>
      </c>
      <c r="E475" t="s">
        <v>9</v>
      </c>
      <c r="F475" t="s">
        <v>7</v>
      </c>
      <c r="G475" t="s">
        <v>10</v>
      </c>
      <c r="H475" t="s">
        <v>66</v>
      </c>
      <c r="I475" t="s">
        <v>59</v>
      </c>
      <c r="J475" t="s">
        <v>67</v>
      </c>
      <c r="K475" s="2">
        <v>5</v>
      </c>
      <c r="L475" t="s">
        <v>143</v>
      </c>
      <c r="M475" s="3">
        <v>20</v>
      </c>
      <c r="N475" t="s">
        <v>51</v>
      </c>
      <c r="O475" t="s">
        <v>6</v>
      </c>
      <c r="P475" t="s">
        <v>113</v>
      </c>
      <c r="Q475" t="s">
        <v>144</v>
      </c>
      <c r="R475" s="3">
        <v>100</v>
      </c>
      <c r="S475" s="4">
        <v>5</v>
      </c>
      <c r="T475" t="s">
        <v>145</v>
      </c>
      <c r="U475">
        <v>95</v>
      </c>
      <c r="V475">
        <v>1</v>
      </c>
      <c r="W475"/>
    </row>
    <row r="476" spans="1:23" x14ac:dyDescent="0.3">
      <c r="A476">
        <v>475</v>
      </c>
      <c r="B476" s="1">
        <v>45766</v>
      </c>
      <c r="C476" t="s">
        <v>156</v>
      </c>
      <c r="D476">
        <v>2025</v>
      </c>
      <c r="E476" t="s">
        <v>12</v>
      </c>
      <c r="F476" t="s">
        <v>7</v>
      </c>
      <c r="G476" t="s">
        <v>13</v>
      </c>
      <c r="H476" t="s">
        <v>69</v>
      </c>
      <c r="I476" t="s">
        <v>59</v>
      </c>
      <c r="J476" t="s">
        <v>67</v>
      </c>
      <c r="K476" s="2">
        <v>2</v>
      </c>
      <c r="L476" t="s">
        <v>143</v>
      </c>
      <c r="M476" s="3">
        <v>50</v>
      </c>
      <c r="N476" t="s">
        <v>45</v>
      </c>
      <c r="O476" t="s">
        <v>10</v>
      </c>
      <c r="P476" t="s">
        <v>113</v>
      </c>
      <c r="Q476" t="s">
        <v>146</v>
      </c>
      <c r="R476" s="3">
        <v>100</v>
      </c>
      <c r="S476" s="4">
        <v>0</v>
      </c>
      <c r="T476" t="s">
        <v>145</v>
      </c>
      <c r="U476">
        <v>100</v>
      </c>
      <c r="V476">
        <v>1</v>
      </c>
      <c r="W476"/>
    </row>
    <row r="477" spans="1:23" x14ac:dyDescent="0.3">
      <c r="A477">
        <v>476</v>
      </c>
      <c r="B477" s="1">
        <v>45767</v>
      </c>
      <c r="C477" t="s">
        <v>156</v>
      </c>
      <c r="D477">
        <v>2025</v>
      </c>
      <c r="E477" t="s">
        <v>15</v>
      </c>
      <c r="F477" t="s">
        <v>7</v>
      </c>
      <c r="G477" t="s">
        <v>16</v>
      </c>
      <c r="H477" t="s">
        <v>71</v>
      </c>
      <c r="I477" t="s">
        <v>63</v>
      </c>
      <c r="J477" t="s">
        <v>64</v>
      </c>
      <c r="K477" s="2">
        <v>1</v>
      </c>
      <c r="L477" t="s">
        <v>143</v>
      </c>
      <c r="M477" s="3">
        <v>300</v>
      </c>
      <c r="N477" t="s">
        <v>51</v>
      </c>
      <c r="O477" t="s">
        <v>13</v>
      </c>
      <c r="P477" t="s">
        <v>113</v>
      </c>
      <c r="Q477" t="s">
        <v>144</v>
      </c>
      <c r="R477" s="3">
        <v>300</v>
      </c>
      <c r="S477" s="4">
        <v>0</v>
      </c>
      <c r="T477" t="s">
        <v>145</v>
      </c>
      <c r="U477">
        <v>300</v>
      </c>
      <c r="V477">
        <v>1</v>
      </c>
      <c r="W477"/>
    </row>
    <row r="478" spans="1:23" x14ac:dyDescent="0.3">
      <c r="A478">
        <v>477</v>
      </c>
      <c r="B478" s="1">
        <v>45768</v>
      </c>
      <c r="C478" t="s">
        <v>156</v>
      </c>
      <c r="D478">
        <v>2025</v>
      </c>
      <c r="E478" t="s">
        <v>5</v>
      </c>
      <c r="F478" t="s">
        <v>7</v>
      </c>
      <c r="G478" t="s">
        <v>6</v>
      </c>
      <c r="H478" t="s">
        <v>58</v>
      </c>
      <c r="I478" t="s">
        <v>59</v>
      </c>
      <c r="J478" t="s">
        <v>60</v>
      </c>
      <c r="K478" s="2">
        <v>4</v>
      </c>
      <c r="L478" t="s">
        <v>143</v>
      </c>
      <c r="M478" s="3">
        <v>800</v>
      </c>
      <c r="N478" t="s">
        <v>47</v>
      </c>
      <c r="O478" t="s">
        <v>16</v>
      </c>
      <c r="P478" t="s">
        <v>115</v>
      </c>
      <c r="Q478" t="s">
        <v>146</v>
      </c>
      <c r="R478" s="3">
        <v>3200</v>
      </c>
      <c r="S478" s="4">
        <v>192</v>
      </c>
      <c r="T478" t="s">
        <v>150</v>
      </c>
      <c r="U478">
        <v>3008</v>
      </c>
      <c r="V478">
        <v>1</v>
      </c>
      <c r="W478"/>
    </row>
    <row r="479" spans="1:23" x14ac:dyDescent="0.3">
      <c r="A479">
        <v>478</v>
      </c>
      <c r="B479" s="1">
        <v>45769</v>
      </c>
      <c r="C479" t="s">
        <v>156</v>
      </c>
      <c r="D479">
        <v>2025</v>
      </c>
      <c r="E479" t="s">
        <v>9</v>
      </c>
      <c r="F479" t="s">
        <v>7</v>
      </c>
      <c r="G479" t="s">
        <v>10</v>
      </c>
      <c r="H479" t="s">
        <v>62</v>
      </c>
      <c r="I479" t="s">
        <v>63</v>
      </c>
      <c r="J479" t="s">
        <v>64</v>
      </c>
      <c r="K479" s="2">
        <v>2</v>
      </c>
      <c r="L479" t="s">
        <v>143</v>
      </c>
      <c r="M479" s="3">
        <v>150</v>
      </c>
      <c r="N479" t="s">
        <v>49</v>
      </c>
      <c r="O479" t="s">
        <v>6</v>
      </c>
      <c r="P479" t="s">
        <v>117</v>
      </c>
      <c r="Q479" t="s">
        <v>144</v>
      </c>
      <c r="R479" s="3">
        <v>300</v>
      </c>
      <c r="S479" s="4">
        <v>15</v>
      </c>
      <c r="T479" t="s">
        <v>145</v>
      </c>
      <c r="U479">
        <v>285</v>
      </c>
      <c r="V479">
        <v>1</v>
      </c>
      <c r="W479"/>
    </row>
    <row r="480" spans="1:23" x14ac:dyDescent="0.3">
      <c r="A480">
        <v>479</v>
      </c>
      <c r="B480" s="1">
        <v>45770</v>
      </c>
      <c r="C480" t="s">
        <v>156</v>
      </c>
      <c r="D480">
        <v>2025</v>
      </c>
      <c r="E480" t="s">
        <v>12</v>
      </c>
      <c r="F480" t="s">
        <v>7</v>
      </c>
      <c r="G480" t="s">
        <v>13</v>
      </c>
      <c r="H480" t="s">
        <v>66</v>
      </c>
      <c r="I480" t="s">
        <v>59</v>
      </c>
      <c r="J480" t="s">
        <v>67</v>
      </c>
      <c r="K480" s="2">
        <v>3</v>
      </c>
      <c r="L480" t="s">
        <v>143</v>
      </c>
      <c r="M480" s="3">
        <v>20</v>
      </c>
      <c r="N480" t="s">
        <v>51</v>
      </c>
      <c r="O480" t="s">
        <v>6</v>
      </c>
      <c r="P480" t="s">
        <v>113</v>
      </c>
      <c r="Q480" t="s">
        <v>144</v>
      </c>
      <c r="R480" s="3">
        <v>60</v>
      </c>
      <c r="S480" s="4">
        <v>3</v>
      </c>
      <c r="T480" t="s">
        <v>145</v>
      </c>
      <c r="U480">
        <v>57</v>
      </c>
      <c r="V480">
        <v>1</v>
      </c>
      <c r="W480"/>
    </row>
    <row r="481" spans="1:23" x14ac:dyDescent="0.3">
      <c r="A481">
        <v>480</v>
      </c>
      <c r="B481" s="1">
        <v>45771</v>
      </c>
      <c r="C481" t="s">
        <v>156</v>
      </c>
      <c r="D481">
        <v>2025</v>
      </c>
      <c r="E481" t="s">
        <v>15</v>
      </c>
      <c r="F481" t="s">
        <v>7</v>
      </c>
      <c r="G481" t="s">
        <v>16</v>
      </c>
      <c r="H481" t="s">
        <v>69</v>
      </c>
      <c r="I481" t="s">
        <v>59</v>
      </c>
      <c r="J481" t="s">
        <v>67</v>
      </c>
      <c r="K481" s="2">
        <v>1</v>
      </c>
      <c r="L481" t="s">
        <v>143</v>
      </c>
      <c r="M481" s="3">
        <v>50</v>
      </c>
      <c r="N481" t="s">
        <v>45</v>
      </c>
      <c r="O481" t="s">
        <v>13</v>
      </c>
      <c r="P481" t="s">
        <v>113</v>
      </c>
      <c r="Q481" t="s">
        <v>146</v>
      </c>
      <c r="R481" s="3">
        <v>50</v>
      </c>
      <c r="S481" s="4">
        <v>0</v>
      </c>
      <c r="T481" t="s">
        <v>145</v>
      </c>
      <c r="U481">
        <v>50</v>
      </c>
      <c r="V481">
        <v>1</v>
      </c>
      <c r="W481"/>
    </row>
    <row r="482" spans="1:23" x14ac:dyDescent="0.3">
      <c r="A482">
        <v>481</v>
      </c>
      <c r="B482" s="1">
        <v>45772</v>
      </c>
      <c r="C482" t="s">
        <v>156</v>
      </c>
      <c r="D482">
        <v>2025</v>
      </c>
      <c r="E482" t="s">
        <v>5</v>
      </c>
      <c r="F482" t="s">
        <v>7</v>
      </c>
      <c r="G482" t="s">
        <v>6</v>
      </c>
      <c r="H482" t="s">
        <v>71</v>
      </c>
      <c r="I482" t="s">
        <v>63</v>
      </c>
      <c r="J482" t="s">
        <v>64</v>
      </c>
      <c r="K482" s="2">
        <v>5</v>
      </c>
      <c r="L482" t="s">
        <v>143</v>
      </c>
      <c r="M482" s="3">
        <v>300</v>
      </c>
      <c r="N482" t="s">
        <v>51</v>
      </c>
      <c r="O482" t="s">
        <v>16</v>
      </c>
      <c r="P482" t="s">
        <v>113</v>
      </c>
      <c r="Q482" t="s">
        <v>144</v>
      </c>
      <c r="R482" s="3">
        <v>1500</v>
      </c>
      <c r="S482" s="4">
        <v>90</v>
      </c>
      <c r="T482" t="s">
        <v>149</v>
      </c>
      <c r="U482">
        <v>1410</v>
      </c>
      <c r="V482">
        <v>1</v>
      </c>
      <c r="W482"/>
    </row>
    <row r="483" spans="1:23" x14ac:dyDescent="0.3">
      <c r="A483">
        <v>482</v>
      </c>
      <c r="B483" s="1">
        <v>45773</v>
      </c>
      <c r="C483" t="s">
        <v>156</v>
      </c>
      <c r="D483">
        <v>2025</v>
      </c>
      <c r="E483" t="s">
        <v>9</v>
      </c>
      <c r="F483" t="s">
        <v>7</v>
      </c>
      <c r="G483" t="s">
        <v>10</v>
      </c>
      <c r="H483" t="s">
        <v>58</v>
      </c>
      <c r="I483" t="s">
        <v>59</v>
      </c>
      <c r="J483" t="s">
        <v>60</v>
      </c>
      <c r="K483" s="2">
        <v>2</v>
      </c>
      <c r="L483" t="s">
        <v>143</v>
      </c>
      <c r="M483" s="3">
        <v>800</v>
      </c>
      <c r="N483" t="s">
        <v>47</v>
      </c>
      <c r="O483" t="s">
        <v>6</v>
      </c>
      <c r="P483" t="s">
        <v>115</v>
      </c>
      <c r="Q483" t="s">
        <v>146</v>
      </c>
      <c r="R483" s="3">
        <v>1600</v>
      </c>
      <c r="S483" s="4">
        <v>80</v>
      </c>
      <c r="T483" t="s">
        <v>149</v>
      </c>
      <c r="U483">
        <v>1520</v>
      </c>
      <c r="V483">
        <v>1</v>
      </c>
      <c r="W483"/>
    </row>
    <row r="484" spans="1:23" x14ac:dyDescent="0.3">
      <c r="A484">
        <v>483</v>
      </c>
      <c r="B484" s="1">
        <v>45774</v>
      </c>
      <c r="C484" t="s">
        <v>156</v>
      </c>
      <c r="D484">
        <v>2025</v>
      </c>
      <c r="E484" t="s">
        <v>12</v>
      </c>
      <c r="F484" t="s">
        <v>7</v>
      </c>
      <c r="G484" t="s">
        <v>13</v>
      </c>
      <c r="H484" t="s">
        <v>62</v>
      </c>
      <c r="I484" t="s">
        <v>63</v>
      </c>
      <c r="J484" t="s">
        <v>64</v>
      </c>
      <c r="K484" s="2">
        <v>4</v>
      </c>
      <c r="L484" t="s">
        <v>143</v>
      </c>
      <c r="M484" s="3">
        <v>150</v>
      </c>
      <c r="N484" t="s">
        <v>49</v>
      </c>
      <c r="O484" t="s">
        <v>6</v>
      </c>
      <c r="P484" t="s">
        <v>117</v>
      </c>
      <c r="Q484" t="s">
        <v>144</v>
      </c>
      <c r="R484" s="3">
        <v>600</v>
      </c>
      <c r="S484" s="4">
        <v>30</v>
      </c>
      <c r="T484" t="s">
        <v>145</v>
      </c>
      <c r="U484">
        <v>570</v>
      </c>
      <c r="V484">
        <v>1</v>
      </c>
      <c r="W484"/>
    </row>
    <row r="485" spans="1:23" x14ac:dyDescent="0.3">
      <c r="A485">
        <v>484</v>
      </c>
      <c r="B485" s="1">
        <v>45775</v>
      </c>
      <c r="C485" t="s">
        <v>156</v>
      </c>
      <c r="D485">
        <v>2025</v>
      </c>
      <c r="E485" t="s">
        <v>15</v>
      </c>
      <c r="F485" t="s">
        <v>7</v>
      </c>
      <c r="G485" t="s">
        <v>16</v>
      </c>
      <c r="H485" t="s">
        <v>66</v>
      </c>
      <c r="I485" t="s">
        <v>59</v>
      </c>
      <c r="J485" t="s">
        <v>67</v>
      </c>
      <c r="K485" s="2">
        <v>2</v>
      </c>
      <c r="L485" t="s">
        <v>143</v>
      </c>
      <c r="M485" s="3">
        <v>20</v>
      </c>
      <c r="N485" t="s">
        <v>51</v>
      </c>
      <c r="O485" t="s">
        <v>6</v>
      </c>
      <c r="P485" t="s">
        <v>113</v>
      </c>
      <c r="Q485" t="s">
        <v>144</v>
      </c>
      <c r="R485" s="3">
        <v>40</v>
      </c>
      <c r="S485" s="4">
        <v>2</v>
      </c>
      <c r="T485" t="s">
        <v>145</v>
      </c>
      <c r="U485">
        <v>38</v>
      </c>
      <c r="V485">
        <v>1</v>
      </c>
      <c r="W485"/>
    </row>
    <row r="486" spans="1:23" x14ac:dyDescent="0.3">
      <c r="A486">
        <v>485</v>
      </c>
      <c r="B486" s="1">
        <v>45776</v>
      </c>
      <c r="C486" t="s">
        <v>156</v>
      </c>
      <c r="D486">
        <v>2025</v>
      </c>
      <c r="E486" t="s">
        <v>5</v>
      </c>
      <c r="F486" t="s">
        <v>7</v>
      </c>
      <c r="G486" t="s">
        <v>6</v>
      </c>
      <c r="H486" t="s">
        <v>69</v>
      </c>
      <c r="I486" t="s">
        <v>59</v>
      </c>
      <c r="J486" t="s">
        <v>67</v>
      </c>
      <c r="K486" s="2">
        <v>3</v>
      </c>
      <c r="L486" t="s">
        <v>143</v>
      </c>
      <c r="M486" s="3">
        <v>50</v>
      </c>
      <c r="N486" t="s">
        <v>45</v>
      </c>
      <c r="O486" t="s">
        <v>10</v>
      </c>
      <c r="P486" t="s">
        <v>113</v>
      </c>
      <c r="Q486" t="s">
        <v>146</v>
      </c>
      <c r="R486" s="3">
        <v>150</v>
      </c>
      <c r="S486" s="4">
        <v>10.5</v>
      </c>
      <c r="T486" t="s">
        <v>145</v>
      </c>
      <c r="U486">
        <v>139.5</v>
      </c>
      <c r="V486">
        <v>1</v>
      </c>
      <c r="W486"/>
    </row>
    <row r="487" spans="1:23" x14ac:dyDescent="0.3">
      <c r="A487">
        <v>486</v>
      </c>
      <c r="B487" s="1">
        <v>45777</v>
      </c>
      <c r="C487" t="s">
        <v>156</v>
      </c>
      <c r="D487">
        <v>2025</v>
      </c>
      <c r="E487" t="s">
        <v>9</v>
      </c>
      <c r="F487" t="s">
        <v>7</v>
      </c>
      <c r="G487" t="s">
        <v>10</v>
      </c>
      <c r="H487" t="s">
        <v>71</v>
      </c>
      <c r="I487" t="s">
        <v>63</v>
      </c>
      <c r="J487" t="s">
        <v>64</v>
      </c>
      <c r="K487" s="2">
        <v>2</v>
      </c>
      <c r="L487" t="s">
        <v>143</v>
      </c>
      <c r="M487" s="3">
        <v>300</v>
      </c>
      <c r="N487" t="s">
        <v>51</v>
      </c>
      <c r="O487" t="s">
        <v>13</v>
      </c>
      <c r="P487" t="s">
        <v>113</v>
      </c>
      <c r="Q487" t="s">
        <v>144</v>
      </c>
      <c r="R487" s="3">
        <v>600</v>
      </c>
      <c r="S487" s="4">
        <v>24</v>
      </c>
      <c r="T487" t="s">
        <v>145</v>
      </c>
      <c r="U487">
        <v>576</v>
      </c>
      <c r="V487">
        <v>1</v>
      </c>
      <c r="W487"/>
    </row>
    <row r="488" spans="1:23" x14ac:dyDescent="0.3">
      <c r="A488">
        <v>487</v>
      </c>
      <c r="B488" s="1">
        <v>45662</v>
      </c>
      <c r="C488" t="s">
        <v>153</v>
      </c>
      <c r="D488">
        <v>2025</v>
      </c>
      <c r="E488" t="s">
        <v>12</v>
      </c>
      <c r="F488" t="s">
        <v>7</v>
      </c>
      <c r="G488" t="s">
        <v>13</v>
      </c>
      <c r="H488" t="s">
        <v>58</v>
      </c>
      <c r="I488" t="s">
        <v>59</v>
      </c>
      <c r="J488" t="s">
        <v>60</v>
      </c>
      <c r="K488" s="2">
        <v>1</v>
      </c>
      <c r="L488" t="s">
        <v>143</v>
      </c>
      <c r="M488" s="3">
        <v>800</v>
      </c>
      <c r="N488" t="s">
        <v>47</v>
      </c>
      <c r="O488" t="s">
        <v>16</v>
      </c>
      <c r="P488" t="s">
        <v>115</v>
      </c>
      <c r="Q488" t="s">
        <v>146</v>
      </c>
      <c r="R488" s="3">
        <v>800</v>
      </c>
      <c r="S488" s="4">
        <v>0</v>
      </c>
      <c r="T488" t="s">
        <v>145</v>
      </c>
      <c r="U488">
        <v>800</v>
      </c>
      <c r="V488">
        <v>1</v>
      </c>
      <c r="W488"/>
    </row>
    <row r="489" spans="1:23" x14ac:dyDescent="0.3">
      <c r="A489">
        <v>488</v>
      </c>
      <c r="B489" s="1">
        <v>45693</v>
      </c>
      <c r="C489" t="s">
        <v>157</v>
      </c>
      <c r="D489">
        <v>2025</v>
      </c>
      <c r="E489" t="s">
        <v>15</v>
      </c>
      <c r="F489" t="s">
        <v>7</v>
      </c>
      <c r="G489" t="s">
        <v>16</v>
      </c>
      <c r="H489" t="s">
        <v>62</v>
      </c>
      <c r="I489" t="s">
        <v>63</v>
      </c>
      <c r="J489" t="s">
        <v>64</v>
      </c>
      <c r="K489" s="2">
        <v>3</v>
      </c>
      <c r="L489" t="s">
        <v>143</v>
      </c>
      <c r="M489" s="3">
        <v>150</v>
      </c>
      <c r="N489" t="s">
        <v>49</v>
      </c>
      <c r="O489" t="s">
        <v>6</v>
      </c>
      <c r="P489" t="s">
        <v>117</v>
      </c>
      <c r="Q489" t="s">
        <v>144</v>
      </c>
      <c r="R489" s="3">
        <v>450</v>
      </c>
      <c r="S489" s="4">
        <v>22.5</v>
      </c>
      <c r="T489" t="s">
        <v>145</v>
      </c>
      <c r="U489">
        <v>427.5</v>
      </c>
      <c r="V489">
        <v>1</v>
      </c>
      <c r="W489"/>
    </row>
    <row r="490" spans="1:23" x14ac:dyDescent="0.3">
      <c r="A490">
        <v>489</v>
      </c>
      <c r="B490" s="1">
        <v>45721</v>
      </c>
      <c r="C490" t="s">
        <v>158</v>
      </c>
      <c r="D490">
        <v>2025</v>
      </c>
      <c r="E490" t="s">
        <v>5</v>
      </c>
      <c r="F490" t="s">
        <v>7</v>
      </c>
      <c r="G490" t="s">
        <v>6</v>
      </c>
      <c r="H490" t="s">
        <v>66</v>
      </c>
      <c r="I490" t="s">
        <v>59</v>
      </c>
      <c r="J490" t="s">
        <v>67</v>
      </c>
      <c r="K490" s="2">
        <v>2</v>
      </c>
      <c r="L490" t="s">
        <v>143</v>
      </c>
      <c r="M490" s="3">
        <v>20</v>
      </c>
      <c r="N490" t="s">
        <v>51</v>
      </c>
      <c r="O490" t="s">
        <v>6</v>
      </c>
      <c r="P490" t="s">
        <v>113</v>
      </c>
      <c r="Q490" t="s">
        <v>144</v>
      </c>
      <c r="R490" s="3">
        <v>40</v>
      </c>
      <c r="S490" s="4">
        <v>2</v>
      </c>
      <c r="T490" t="s">
        <v>145</v>
      </c>
      <c r="U490">
        <v>38</v>
      </c>
      <c r="V490">
        <v>1</v>
      </c>
      <c r="W490"/>
    </row>
    <row r="491" spans="1:23" x14ac:dyDescent="0.3">
      <c r="A491">
        <v>490</v>
      </c>
      <c r="B491" s="1">
        <v>45752</v>
      </c>
      <c r="C491" t="s">
        <v>156</v>
      </c>
      <c r="D491">
        <v>2025</v>
      </c>
      <c r="E491" t="s">
        <v>9</v>
      </c>
      <c r="F491" t="s">
        <v>7</v>
      </c>
      <c r="G491" t="s">
        <v>10</v>
      </c>
      <c r="H491" t="s">
        <v>69</v>
      </c>
      <c r="I491" t="s">
        <v>59</v>
      </c>
      <c r="J491" t="s">
        <v>67</v>
      </c>
      <c r="K491" s="2">
        <v>5</v>
      </c>
      <c r="L491" t="s">
        <v>143</v>
      </c>
      <c r="M491" s="3">
        <v>50</v>
      </c>
      <c r="N491" t="s">
        <v>45</v>
      </c>
      <c r="O491" t="s">
        <v>13</v>
      </c>
      <c r="P491" t="s">
        <v>113</v>
      </c>
      <c r="Q491" t="s">
        <v>146</v>
      </c>
      <c r="R491" s="3">
        <v>250</v>
      </c>
      <c r="S491" s="4">
        <v>10</v>
      </c>
      <c r="T491" t="s">
        <v>145</v>
      </c>
      <c r="U491">
        <v>240</v>
      </c>
      <c r="V491">
        <v>1</v>
      </c>
      <c r="W491"/>
    </row>
    <row r="492" spans="1:23" x14ac:dyDescent="0.3">
      <c r="A492">
        <v>491</v>
      </c>
      <c r="B492" s="1">
        <v>45782</v>
      </c>
      <c r="C492" t="s">
        <v>159</v>
      </c>
      <c r="D492">
        <v>2025</v>
      </c>
      <c r="E492" t="s">
        <v>12</v>
      </c>
      <c r="F492" t="s">
        <v>7</v>
      </c>
      <c r="G492" t="s">
        <v>13</v>
      </c>
      <c r="H492" t="s">
        <v>71</v>
      </c>
      <c r="I492" t="s">
        <v>63</v>
      </c>
      <c r="J492" t="s">
        <v>64</v>
      </c>
      <c r="K492" s="2">
        <v>2</v>
      </c>
      <c r="L492" t="s">
        <v>143</v>
      </c>
      <c r="M492" s="3">
        <v>300</v>
      </c>
      <c r="N492" t="s">
        <v>51</v>
      </c>
      <c r="O492" t="s">
        <v>16</v>
      </c>
      <c r="P492" t="s">
        <v>113</v>
      </c>
      <c r="Q492" t="s">
        <v>144</v>
      </c>
      <c r="R492" s="3">
        <v>600</v>
      </c>
      <c r="S492" s="4">
        <v>0</v>
      </c>
      <c r="T492" t="s">
        <v>145</v>
      </c>
      <c r="U492">
        <v>600</v>
      </c>
      <c r="V492">
        <v>1</v>
      </c>
      <c r="W492"/>
    </row>
    <row r="493" spans="1:23" x14ac:dyDescent="0.3">
      <c r="A493">
        <v>492</v>
      </c>
      <c r="B493" s="1">
        <v>45813</v>
      </c>
      <c r="C493" t="s">
        <v>164</v>
      </c>
      <c r="D493">
        <v>2025</v>
      </c>
      <c r="E493" t="s">
        <v>15</v>
      </c>
      <c r="F493" t="s">
        <v>7</v>
      </c>
      <c r="G493" t="s">
        <v>16</v>
      </c>
      <c r="H493" t="s">
        <v>58</v>
      </c>
      <c r="I493" t="s">
        <v>59</v>
      </c>
      <c r="J493" t="s">
        <v>60</v>
      </c>
      <c r="K493" s="2">
        <v>4</v>
      </c>
      <c r="L493" t="s">
        <v>143</v>
      </c>
      <c r="M493" s="3">
        <v>800</v>
      </c>
      <c r="N493" t="s">
        <v>47</v>
      </c>
      <c r="O493" t="s">
        <v>6</v>
      </c>
      <c r="P493" t="s">
        <v>115</v>
      </c>
      <c r="Q493" t="s">
        <v>146</v>
      </c>
      <c r="R493" s="3">
        <v>3200</v>
      </c>
      <c r="S493" s="4">
        <v>160</v>
      </c>
      <c r="T493" t="s">
        <v>150</v>
      </c>
      <c r="U493">
        <v>3040</v>
      </c>
      <c r="V493">
        <v>1</v>
      </c>
      <c r="W493"/>
    </row>
    <row r="494" spans="1:23" x14ac:dyDescent="0.3">
      <c r="A494">
        <v>493</v>
      </c>
      <c r="B494" s="1">
        <v>45843</v>
      </c>
      <c r="C494" t="s">
        <v>160</v>
      </c>
      <c r="D494">
        <v>2025</v>
      </c>
      <c r="E494" t="s">
        <v>5</v>
      </c>
      <c r="F494" t="s">
        <v>7</v>
      </c>
      <c r="G494" t="s">
        <v>6</v>
      </c>
      <c r="H494" t="s">
        <v>62</v>
      </c>
      <c r="I494" t="s">
        <v>63</v>
      </c>
      <c r="J494" t="s">
        <v>64</v>
      </c>
      <c r="K494" s="2">
        <v>1</v>
      </c>
      <c r="L494" t="s">
        <v>143</v>
      </c>
      <c r="M494" s="3">
        <v>150</v>
      </c>
      <c r="N494" t="s">
        <v>49</v>
      </c>
      <c r="O494" t="s">
        <v>6</v>
      </c>
      <c r="P494" t="s">
        <v>117</v>
      </c>
      <c r="Q494" t="s">
        <v>144</v>
      </c>
      <c r="R494" s="3">
        <v>150</v>
      </c>
      <c r="S494" s="4">
        <v>0</v>
      </c>
      <c r="T494" t="s">
        <v>145</v>
      </c>
      <c r="U494">
        <v>150</v>
      </c>
      <c r="V494">
        <v>1</v>
      </c>
      <c r="W494"/>
    </row>
    <row r="495" spans="1:23" x14ac:dyDescent="0.3">
      <c r="A495">
        <v>494</v>
      </c>
      <c r="B495" s="1">
        <v>45874</v>
      </c>
      <c r="C495" t="s">
        <v>154</v>
      </c>
      <c r="D495">
        <v>2025</v>
      </c>
      <c r="E495" t="s">
        <v>9</v>
      </c>
      <c r="F495" t="s">
        <v>7</v>
      </c>
      <c r="G495" t="s">
        <v>10</v>
      </c>
      <c r="H495" t="s">
        <v>66</v>
      </c>
      <c r="I495" t="s">
        <v>59</v>
      </c>
      <c r="J495" t="s">
        <v>67</v>
      </c>
      <c r="K495" s="2">
        <v>3</v>
      </c>
      <c r="L495" t="s">
        <v>143</v>
      </c>
      <c r="M495" s="3">
        <v>20</v>
      </c>
      <c r="N495" t="s">
        <v>51</v>
      </c>
      <c r="O495" t="s">
        <v>6</v>
      </c>
      <c r="P495" t="s">
        <v>113</v>
      </c>
      <c r="Q495" t="s">
        <v>144</v>
      </c>
      <c r="R495" s="3">
        <v>60</v>
      </c>
      <c r="S495" s="4">
        <v>3</v>
      </c>
      <c r="T495" t="s">
        <v>145</v>
      </c>
      <c r="U495">
        <v>57</v>
      </c>
      <c r="V495">
        <v>1</v>
      </c>
      <c r="W495"/>
    </row>
    <row r="496" spans="1:23" x14ac:dyDescent="0.3">
      <c r="A496">
        <v>495</v>
      </c>
      <c r="B496" s="1">
        <v>45905</v>
      </c>
      <c r="C496" t="s">
        <v>161</v>
      </c>
      <c r="D496">
        <v>2025</v>
      </c>
      <c r="E496" t="s">
        <v>12</v>
      </c>
      <c r="F496" t="s">
        <v>7</v>
      </c>
      <c r="G496" t="s">
        <v>13</v>
      </c>
      <c r="H496" t="s">
        <v>69</v>
      </c>
      <c r="I496" t="s">
        <v>59</v>
      </c>
      <c r="J496" t="s">
        <v>67</v>
      </c>
      <c r="K496" s="2">
        <v>2</v>
      </c>
      <c r="L496" t="s">
        <v>143</v>
      </c>
      <c r="M496" s="3">
        <v>50</v>
      </c>
      <c r="N496" t="s">
        <v>45</v>
      </c>
      <c r="O496" t="s">
        <v>10</v>
      </c>
      <c r="P496" t="s">
        <v>113</v>
      </c>
      <c r="Q496" t="s">
        <v>146</v>
      </c>
      <c r="R496" s="3">
        <v>100</v>
      </c>
      <c r="S496" s="4">
        <v>0</v>
      </c>
      <c r="T496" t="s">
        <v>145</v>
      </c>
      <c r="U496">
        <v>100</v>
      </c>
      <c r="V496">
        <v>1</v>
      </c>
      <c r="W496"/>
    </row>
    <row r="497" spans="1:23" x14ac:dyDescent="0.3">
      <c r="A497">
        <v>496</v>
      </c>
      <c r="B497" s="1">
        <v>45935</v>
      </c>
      <c r="C497" t="s">
        <v>155</v>
      </c>
      <c r="D497">
        <v>2025</v>
      </c>
      <c r="E497" t="s">
        <v>15</v>
      </c>
      <c r="F497" t="s">
        <v>7</v>
      </c>
      <c r="G497" t="s">
        <v>16</v>
      </c>
      <c r="H497" t="s">
        <v>71</v>
      </c>
      <c r="I497" t="s">
        <v>63</v>
      </c>
      <c r="J497" t="s">
        <v>64</v>
      </c>
      <c r="K497" s="2">
        <v>5</v>
      </c>
      <c r="L497" t="s">
        <v>143</v>
      </c>
      <c r="M497" s="3">
        <v>300</v>
      </c>
      <c r="N497" t="s">
        <v>51</v>
      </c>
      <c r="O497" t="s">
        <v>13</v>
      </c>
      <c r="P497" t="s">
        <v>113</v>
      </c>
      <c r="Q497" t="s">
        <v>144</v>
      </c>
      <c r="R497" s="3">
        <v>1500</v>
      </c>
      <c r="S497" s="4">
        <v>60</v>
      </c>
      <c r="T497" t="s">
        <v>149</v>
      </c>
      <c r="U497">
        <v>1440</v>
      </c>
      <c r="V497">
        <v>1</v>
      </c>
      <c r="W497"/>
    </row>
    <row r="498" spans="1:23" x14ac:dyDescent="0.3">
      <c r="A498">
        <v>497</v>
      </c>
      <c r="B498" s="1">
        <v>45966</v>
      </c>
      <c r="C498" t="s">
        <v>162</v>
      </c>
      <c r="D498">
        <v>2025</v>
      </c>
      <c r="E498" t="s">
        <v>5</v>
      </c>
      <c r="F498" t="s">
        <v>7</v>
      </c>
      <c r="G498" t="s">
        <v>6</v>
      </c>
      <c r="H498" t="s">
        <v>58</v>
      </c>
      <c r="I498" t="s">
        <v>59</v>
      </c>
      <c r="J498" t="s">
        <v>60</v>
      </c>
      <c r="K498" s="2">
        <v>2</v>
      </c>
      <c r="L498" t="s">
        <v>143</v>
      </c>
      <c r="M498" s="3">
        <v>800</v>
      </c>
      <c r="N498" t="s">
        <v>47</v>
      </c>
      <c r="O498" t="s">
        <v>16</v>
      </c>
      <c r="P498" t="s">
        <v>115</v>
      </c>
      <c r="Q498" t="s">
        <v>146</v>
      </c>
      <c r="R498" s="3">
        <v>1600</v>
      </c>
      <c r="S498" s="4">
        <v>0</v>
      </c>
      <c r="T498" t="s">
        <v>149</v>
      </c>
      <c r="U498">
        <v>1600</v>
      </c>
      <c r="V498">
        <v>1</v>
      </c>
      <c r="W498"/>
    </row>
    <row r="499" spans="1:23" x14ac:dyDescent="0.3">
      <c r="A499">
        <v>498</v>
      </c>
      <c r="B499" s="1">
        <v>45996</v>
      </c>
      <c r="C499" t="s">
        <v>163</v>
      </c>
      <c r="D499">
        <v>2025</v>
      </c>
      <c r="E499" t="s">
        <v>9</v>
      </c>
      <c r="F499" t="s">
        <v>7</v>
      </c>
      <c r="G499" t="s">
        <v>10</v>
      </c>
      <c r="H499" t="s">
        <v>62</v>
      </c>
      <c r="I499" t="s">
        <v>63</v>
      </c>
      <c r="J499" t="s">
        <v>64</v>
      </c>
      <c r="K499" s="2">
        <v>4</v>
      </c>
      <c r="L499" t="s">
        <v>143</v>
      </c>
      <c r="M499" s="3">
        <v>150</v>
      </c>
      <c r="N499" t="s">
        <v>49</v>
      </c>
      <c r="O499" t="s">
        <v>6</v>
      </c>
      <c r="P499" t="s">
        <v>117</v>
      </c>
      <c r="Q499" t="s">
        <v>144</v>
      </c>
      <c r="R499" s="3">
        <v>600</v>
      </c>
      <c r="S499" s="4">
        <v>30</v>
      </c>
      <c r="T499" t="s">
        <v>145</v>
      </c>
      <c r="U499">
        <v>570</v>
      </c>
      <c r="V499">
        <v>1</v>
      </c>
      <c r="W499"/>
    </row>
    <row r="500" spans="1:23" x14ac:dyDescent="0.3">
      <c r="A500">
        <v>499</v>
      </c>
      <c r="B500" s="1">
        <v>45790</v>
      </c>
      <c r="C500" t="s">
        <v>159</v>
      </c>
      <c r="D500">
        <v>2025</v>
      </c>
      <c r="E500" t="s">
        <v>12</v>
      </c>
      <c r="F500" t="s">
        <v>7</v>
      </c>
      <c r="G500" t="s">
        <v>13</v>
      </c>
      <c r="H500" t="s">
        <v>66</v>
      </c>
      <c r="I500" t="s">
        <v>59</v>
      </c>
      <c r="J500" t="s">
        <v>67</v>
      </c>
      <c r="K500" s="2">
        <v>1</v>
      </c>
      <c r="L500" t="s">
        <v>143</v>
      </c>
      <c r="M500" s="3">
        <v>20</v>
      </c>
      <c r="N500" t="s">
        <v>51</v>
      </c>
      <c r="O500" t="s">
        <v>6</v>
      </c>
      <c r="P500" t="s">
        <v>113</v>
      </c>
      <c r="Q500" t="s">
        <v>144</v>
      </c>
      <c r="R500" s="3">
        <v>20</v>
      </c>
      <c r="S500" s="4">
        <v>0</v>
      </c>
      <c r="T500" t="s">
        <v>145</v>
      </c>
      <c r="U500">
        <v>20</v>
      </c>
      <c r="V500">
        <v>1</v>
      </c>
      <c r="W500"/>
    </row>
    <row r="501" spans="1:23" x14ac:dyDescent="0.3">
      <c r="A501">
        <v>500</v>
      </c>
      <c r="B501" s="1">
        <v>45791</v>
      </c>
      <c r="C501" t="s">
        <v>159</v>
      </c>
      <c r="D501">
        <v>2025</v>
      </c>
      <c r="E501" t="s">
        <v>15</v>
      </c>
      <c r="F501" t="s">
        <v>7</v>
      </c>
      <c r="G501" t="s">
        <v>16</v>
      </c>
      <c r="H501" t="s">
        <v>69</v>
      </c>
      <c r="I501" t="s">
        <v>59</v>
      </c>
      <c r="J501" t="s">
        <v>67</v>
      </c>
      <c r="K501" s="2">
        <v>3</v>
      </c>
      <c r="L501" t="s">
        <v>143</v>
      </c>
      <c r="M501" s="3">
        <v>50</v>
      </c>
      <c r="N501" t="s">
        <v>45</v>
      </c>
      <c r="O501" t="s">
        <v>13</v>
      </c>
      <c r="P501" t="s">
        <v>113</v>
      </c>
      <c r="Q501" t="s">
        <v>146</v>
      </c>
      <c r="R501" s="3">
        <v>150</v>
      </c>
      <c r="S501" s="4">
        <v>6</v>
      </c>
      <c r="T501" t="s">
        <v>145</v>
      </c>
      <c r="U501">
        <v>144</v>
      </c>
      <c r="V501">
        <v>1</v>
      </c>
      <c r="W501"/>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84FA5-A4AA-4FD4-9A66-1F198FC614A0}">
  <dimension ref="A1:E21"/>
  <sheetViews>
    <sheetView workbookViewId="0"/>
  </sheetViews>
  <sheetFormatPr defaultRowHeight="14.4" x14ac:dyDescent="0.3"/>
  <cols>
    <col min="1" max="1" width="11.88671875" bestFit="1" customWidth="1"/>
    <col min="2" max="2" width="11.21875" bestFit="1" customWidth="1"/>
    <col min="3" max="3" width="10.5546875" bestFit="1" customWidth="1"/>
    <col min="4" max="4" width="11.33203125" bestFit="1" customWidth="1"/>
    <col min="5" max="5" width="23.6640625" bestFit="1" customWidth="1"/>
  </cols>
  <sheetData>
    <row r="1" spans="1:5" x14ac:dyDescent="0.3">
      <c r="A1" t="s">
        <v>52</v>
      </c>
      <c r="B1" t="s">
        <v>53</v>
      </c>
      <c r="C1" t="s">
        <v>54</v>
      </c>
      <c r="D1" t="s">
        <v>55</v>
      </c>
      <c r="E1" t="s">
        <v>56</v>
      </c>
    </row>
    <row r="2" spans="1:5" x14ac:dyDescent="0.3">
      <c r="A2" t="s">
        <v>57</v>
      </c>
      <c r="B2" t="s">
        <v>58</v>
      </c>
      <c r="C2" t="s">
        <v>59</v>
      </c>
      <c r="D2">
        <v>800</v>
      </c>
      <c r="E2" t="s">
        <v>60</v>
      </c>
    </row>
    <row r="3" spans="1:5" x14ac:dyDescent="0.3">
      <c r="A3" t="s">
        <v>61</v>
      </c>
      <c r="B3" t="s">
        <v>62</v>
      </c>
      <c r="C3" t="s">
        <v>63</v>
      </c>
      <c r="D3">
        <v>150</v>
      </c>
      <c r="E3" t="s">
        <v>64</v>
      </c>
    </row>
    <row r="4" spans="1:5" x14ac:dyDescent="0.3">
      <c r="A4" t="s">
        <v>65</v>
      </c>
      <c r="B4" t="s">
        <v>66</v>
      </c>
      <c r="C4" t="s">
        <v>59</v>
      </c>
      <c r="D4">
        <v>20</v>
      </c>
      <c r="E4" t="s">
        <v>67</v>
      </c>
    </row>
    <row r="5" spans="1:5" x14ac:dyDescent="0.3">
      <c r="A5" t="s">
        <v>68</v>
      </c>
      <c r="B5" t="s">
        <v>69</v>
      </c>
      <c r="C5" t="s">
        <v>59</v>
      </c>
      <c r="D5">
        <v>50</v>
      </c>
      <c r="E5" t="s">
        <v>67</v>
      </c>
    </row>
    <row r="6" spans="1:5" x14ac:dyDescent="0.3">
      <c r="A6" t="s">
        <v>70</v>
      </c>
      <c r="B6" t="s">
        <v>71</v>
      </c>
      <c r="C6" t="s">
        <v>63</v>
      </c>
      <c r="D6">
        <v>300</v>
      </c>
      <c r="E6" t="s">
        <v>64</v>
      </c>
    </row>
    <row r="7" spans="1:5" x14ac:dyDescent="0.3">
      <c r="A7" t="s">
        <v>72</v>
      </c>
      <c r="B7" t="s">
        <v>73</v>
      </c>
      <c r="C7" t="s">
        <v>59</v>
      </c>
      <c r="D7">
        <v>200</v>
      </c>
      <c r="E7" t="s">
        <v>74</v>
      </c>
    </row>
    <row r="8" spans="1:5" x14ac:dyDescent="0.3">
      <c r="A8" t="s">
        <v>75</v>
      </c>
      <c r="B8" t="s">
        <v>76</v>
      </c>
      <c r="C8" t="s">
        <v>59</v>
      </c>
      <c r="D8">
        <v>250</v>
      </c>
      <c r="E8" t="s">
        <v>77</v>
      </c>
    </row>
    <row r="9" spans="1:5" x14ac:dyDescent="0.3">
      <c r="A9" t="s">
        <v>78</v>
      </c>
      <c r="B9" t="s">
        <v>79</v>
      </c>
      <c r="C9" t="s">
        <v>63</v>
      </c>
      <c r="D9">
        <v>400</v>
      </c>
      <c r="E9" t="s">
        <v>64</v>
      </c>
    </row>
    <row r="10" spans="1:5" x14ac:dyDescent="0.3">
      <c r="A10" t="s">
        <v>80</v>
      </c>
      <c r="B10" t="s">
        <v>81</v>
      </c>
      <c r="C10" t="s">
        <v>59</v>
      </c>
      <c r="D10">
        <v>500</v>
      </c>
      <c r="E10" t="s">
        <v>82</v>
      </c>
    </row>
    <row r="11" spans="1:5" x14ac:dyDescent="0.3">
      <c r="A11" t="s">
        <v>83</v>
      </c>
      <c r="B11" t="s">
        <v>84</v>
      </c>
      <c r="C11" t="s">
        <v>59</v>
      </c>
      <c r="D11">
        <v>100</v>
      </c>
      <c r="E11" t="s">
        <v>85</v>
      </c>
    </row>
    <row r="12" spans="1:5" x14ac:dyDescent="0.3">
      <c r="A12" t="s">
        <v>86</v>
      </c>
      <c r="B12" t="s">
        <v>87</v>
      </c>
      <c r="C12" t="s">
        <v>59</v>
      </c>
      <c r="D12">
        <v>700</v>
      </c>
      <c r="E12" t="s">
        <v>82</v>
      </c>
    </row>
    <row r="13" spans="1:5" x14ac:dyDescent="0.3">
      <c r="A13" t="s">
        <v>88</v>
      </c>
      <c r="B13" t="s">
        <v>89</v>
      </c>
      <c r="C13" t="s">
        <v>63</v>
      </c>
      <c r="D13">
        <v>120</v>
      </c>
      <c r="E13" t="s">
        <v>64</v>
      </c>
    </row>
    <row r="14" spans="1:5" x14ac:dyDescent="0.3">
      <c r="A14" t="s">
        <v>90</v>
      </c>
      <c r="B14" t="s">
        <v>91</v>
      </c>
      <c r="C14" t="s">
        <v>59</v>
      </c>
      <c r="D14">
        <v>80</v>
      </c>
      <c r="E14" t="s">
        <v>92</v>
      </c>
    </row>
    <row r="15" spans="1:5" x14ac:dyDescent="0.3">
      <c r="A15" t="s">
        <v>93</v>
      </c>
      <c r="B15" t="s">
        <v>94</v>
      </c>
      <c r="C15" t="s">
        <v>63</v>
      </c>
      <c r="D15">
        <v>600</v>
      </c>
      <c r="E15" t="s">
        <v>64</v>
      </c>
    </row>
    <row r="16" spans="1:5" x14ac:dyDescent="0.3">
      <c r="A16" t="s">
        <v>95</v>
      </c>
      <c r="B16" t="s">
        <v>96</v>
      </c>
      <c r="C16" t="s">
        <v>63</v>
      </c>
      <c r="D16">
        <v>40</v>
      </c>
      <c r="E16" t="s">
        <v>64</v>
      </c>
    </row>
    <row r="17" spans="1:5" x14ac:dyDescent="0.3">
      <c r="A17" t="s">
        <v>97</v>
      </c>
      <c r="B17" t="s">
        <v>98</v>
      </c>
      <c r="C17" t="s">
        <v>59</v>
      </c>
      <c r="D17">
        <v>90</v>
      </c>
      <c r="E17" t="s">
        <v>67</v>
      </c>
    </row>
    <row r="18" spans="1:5" x14ac:dyDescent="0.3">
      <c r="A18" t="s">
        <v>99</v>
      </c>
      <c r="B18" t="s">
        <v>100</v>
      </c>
      <c r="C18" t="s">
        <v>59</v>
      </c>
      <c r="D18">
        <v>350</v>
      </c>
      <c r="E18" t="s">
        <v>101</v>
      </c>
    </row>
    <row r="19" spans="1:5" x14ac:dyDescent="0.3">
      <c r="A19" t="s">
        <v>102</v>
      </c>
      <c r="B19" t="s">
        <v>103</v>
      </c>
      <c r="C19" t="s">
        <v>63</v>
      </c>
      <c r="D19">
        <v>30</v>
      </c>
      <c r="E19" t="s">
        <v>64</v>
      </c>
    </row>
    <row r="20" spans="1:5" x14ac:dyDescent="0.3">
      <c r="A20" t="s">
        <v>104</v>
      </c>
      <c r="B20" t="s">
        <v>105</v>
      </c>
      <c r="C20" t="s">
        <v>59</v>
      </c>
      <c r="D20">
        <v>10</v>
      </c>
      <c r="E20" t="s">
        <v>74</v>
      </c>
    </row>
    <row r="21" spans="1:5" x14ac:dyDescent="0.3">
      <c r="A21" t="s">
        <v>106</v>
      </c>
      <c r="B21" t="s">
        <v>107</v>
      </c>
      <c r="C21" t="s">
        <v>63</v>
      </c>
      <c r="D21">
        <v>5</v>
      </c>
      <c r="E21" t="s">
        <v>108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CA7B2-3DCB-42BC-AA9C-64CF65FFB361}">
  <dimension ref="A1:D21"/>
  <sheetViews>
    <sheetView workbookViewId="0"/>
  </sheetViews>
  <sheetFormatPr defaultRowHeight="14.4" x14ac:dyDescent="0.3"/>
  <cols>
    <col min="1" max="1" width="13.44140625" bestFit="1" customWidth="1"/>
    <col min="2" max="2" width="16.77734375" bestFit="1" customWidth="1"/>
    <col min="3" max="3" width="8.77734375" bestFit="1" customWidth="1"/>
    <col min="4" max="4" width="9.6640625" bestFit="1" customWidth="1"/>
  </cols>
  <sheetData>
    <row r="1" spans="1:4" x14ac:dyDescent="0.3">
      <c r="A1" t="s">
        <v>0</v>
      </c>
      <c r="B1" t="s">
        <v>1</v>
      </c>
      <c r="C1" t="s">
        <v>2</v>
      </c>
      <c r="D1" t="s">
        <v>3</v>
      </c>
    </row>
    <row r="2" spans="1:4" x14ac:dyDescent="0.3">
      <c r="A2" t="s">
        <v>4</v>
      </c>
      <c r="B2" t="s">
        <v>5</v>
      </c>
      <c r="C2" t="s">
        <v>6</v>
      </c>
      <c r="D2" t="s">
        <v>7</v>
      </c>
    </row>
    <row r="3" spans="1:4" x14ac:dyDescent="0.3">
      <c r="A3" t="s">
        <v>8</v>
      </c>
      <c r="B3" t="s">
        <v>9</v>
      </c>
      <c r="C3" t="s">
        <v>10</v>
      </c>
      <c r="D3" t="s">
        <v>7</v>
      </c>
    </row>
    <row r="4" spans="1:4" x14ac:dyDescent="0.3">
      <c r="A4" t="s">
        <v>11</v>
      </c>
      <c r="B4" t="s">
        <v>12</v>
      </c>
      <c r="C4" t="s">
        <v>13</v>
      </c>
      <c r="D4" t="s">
        <v>7</v>
      </c>
    </row>
    <row r="5" spans="1:4" x14ac:dyDescent="0.3">
      <c r="A5" t="s">
        <v>14</v>
      </c>
      <c r="B5" t="s">
        <v>15</v>
      </c>
      <c r="C5" t="s">
        <v>16</v>
      </c>
      <c r="D5" t="s">
        <v>7</v>
      </c>
    </row>
    <row r="6" spans="1:4" x14ac:dyDescent="0.3">
      <c r="A6" t="s">
        <v>17</v>
      </c>
      <c r="B6" t="s">
        <v>18</v>
      </c>
      <c r="C6" t="s">
        <v>6</v>
      </c>
      <c r="D6" t="s">
        <v>19</v>
      </c>
    </row>
    <row r="7" spans="1:4" x14ac:dyDescent="0.3">
      <c r="A7" t="s">
        <v>20</v>
      </c>
      <c r="B7" t="s">
        <v>21</v>
      </c>
      <c r="C7" t="s">
        <v>10</v>
      </c>
      <c r="D7" t="s">
        <v>19</v>
      </c>
    </row>
    <row r="8" spans="1:4" x14ac:dyDescent="0.3">
      <c r="A8" t="s">
        <v>22</v>
      </c>
      <c r="B8" t="s">
        <v>23</v>
      </c>
      <c r="C8" t="s">
        <v>13</v>
      </c>
      <c r="D8" t="s">
        <v>19</v>
      </c>
    </row>
    <row r="9" spans="1:4" x14ac:dyDescent="0.3">
      <c r="A9" t="s">
        <v>24</v>
      </c>
      <c r="B9" t="s">
        <v>25</v>
      </c>
      <c r="C9" t="s">
        <v>16</v>
      </c>
      <c r="D9" t="s">
        <v>19</v>
      </c>
    </row>
    <row r="10" spans="1:4" x14ac:dyDescent="0.3">
      <c r="A10" t="s">
        <v>26</v>
      </c>
      <c r="B10" t="s">
        <v>27</v>
      </c>
      <c r="C10" t="s">
        <v>6</v>
      </c>
      <c r="D10" t="s">
        <v>28</v>
      </c>
    </row>
    <row r="11" spans="1:4" x14ac:dyDescent="0.3">
      <c r="A11" t="s">
        <v>29</v>
      </c>
      <c r="B11" t="s">
        <v>30</v>
      </c>
      <c r="C11" t="s">
        <v>10</v>
      </c>
      <c r="D11" t="s">
        <v>28</v>
      </c>
    </row>
    <row r="12" spans="1:4" x14ac:dyDescent="0.3">
      <c r="A12" t="s">
        <v>31</v>
      </c>
      <c r="B12" t="s">
        <v>32</v>
      </c>
      <c r="C12" t="s">
        <v>13</v>
      </c>
      <c r="D12" t="s">
        <v>28</v>
      </c>
    </row>
    <row r="13" spans="1:4" x14ac:dyDescent="0.3">
      <c r="A13" t="s">
        <v>33</v>
      </c>
      <c r="B13" t="s">
        <v>34</v>
      </c>
      <c r="C13" t="s">
        <v>16</v>
      </c>
      <c r="D13" t="s">
        <v>28</v>
      </c>
    </row>
    <row r="14" spans="1:4" x14ac:dyDescent="0.3">
      <c r="A14" t="s">
        <v>35</v>
      </c>
      <c r="B14" t="s">
        <v>36</v>
      </c>
      <c r="C14" t="s">
        <v>6</v>
      </c>
      <c r="D14" t="s">
        <v>37</v>
      </c>
    </row>
    <row r="15" spans="1:4" x14ac:dyDescent="0.3">
      <c r="A15" t="s">
        <v>38</v>
      </c>
      <c r="B15" t="s">
        <v>39</v>
      </c>
      <c r="C15" t="s">
        <v>10</v>
      </c>
      <c r="D15" t="s">
        <v>37</v>
      </c>
    </row>
    <row r="16" spans="1:4" x14ac:dyDescent="0.3">
      <c r="A16" t="s">
        <v>40</v>
      </c>
      <c r="B16" t="s">
        <v>41</v>
      </c>
      <c r="C16" t="s">
        <v>13</v>
      </c>
      <c r="D16" t="s">
        <v>37</v>
      </c>
    </row>
    <row r="17" spans="1:4" x14ac:dyDescent="0.3">
      <c r="A17" t="s">
        <v>42</v>
      </c>
      <c r="B17" t="s">
        <v>43</v>
      </c>
      <c r="C17" t="s">
        <v>16</v>
      </c>
      <c r="D17" t="s">
        <v>37</v>
      </c>
    </row>
    <row r="18" spans="1:4" x14ac:dyDescent="0.3">
      <c r="A18" t="s">
        <v>44</v>
      </c>
      <c r="B18" t="s">
        <v>45</v>
      </c>
      <c r="C18" t="s">
        <v>6</v>
      </c>
      <c r="D18" t="s">
        <v>7</v>
      </c>
    </row>
    <row r="19" spans="1:4" x14ac:dyDescent="0.3">
      <c r="A19" t="s">
        <v>46</v>
      </c>
      <c r="B19" t="s">
        <v>47</v>
      </c>
      <c r="C19" t="s">
        <v>10</v>
      </c>
      <c r="D19" t="s">
        <v>7</v>
      </c>
    </row>
    <row r="20" spans="1:4" x14ac:dyDescent="0.3">
      <c r="A20" t="s">
        <v>48</v>
      </c>
      <c r="B20" t="s">
        <v>49</v>
      </c>
      <c r="C20" t="s">
        <v>13</v>
      </c>
      <c r="D20" t="s">
        <v>7</v>
      </c>
    </row>
    <row r="21" spans="1:4" x14ac:dyDescent="0.3">
      <c r="A21" t="s">
        <v>50</v>
      </c>
      <c r="B21" t="s">
        <v>51</v>
      </c>
      <c r="C21" t="s">
        <v>16</v>
      </c>
      <c r="D21" t="s">
        <v>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029A-9866-4DA1-AE47-48A8A5732DDA}">
  <dimension ref="B3:T66"/>
  <sheetViews>
    <sheetView topLeftCell="H17" zoomScale="80" zoomScaleNormal="80" workbookViewId="0">
      <selection activeCell="K33" sqref="K33"/>
    </sheetView>
  </sheetViews>
  <sheetFormatPr defaultRowHeight="14.4" x14ac:dyDescent="0.3"/>
  <cols>
    <col min="2" max="2" width="14.109375" bestFit="1" customWidth="1"/>
    <col min="3" max="3" width="12.44140625" bestFit="1" customWidth="1"/>
    <col min="4" max="4" width="14.109375" bestFit="1" customWidth="1"/>
    <col min="5" max="5" width="11.44140625" bestFit="1" customWidth="1"/>
    <col min="6" max="6" width="17.77734375" bestFit="1" customWidth="1"/>
    <col min="7" max="7" width="12.44140625" bestFit="1" customWidth="1"/>
    <col min="8" max="8" width="11.6640625" bestFit="1" customWidth="1"/>
    <col min="9" max="9" width="8" bestFit="1" customWidth="1"/>
    <col min="10" max="10" width="13.6640625" bestFit="1" customWidth="1"/>
    <col min="11" max="11" width="12.88671875" bestFit="1" customWidth="1"/>
    <col min="12" max="12" width="14.109375" bestFit="1" customWidth="1"/>
    <col min="13" max="13" width="13.77734375" bestFit="1" customWidth="1"/>
    <col min="14" max="14" width="14.109375" bestFit="1" customWidth="1"/>
    <col min="15" max="15" width="13.77734375" bestFit="1" customWidth="1"/>
    <col min="16" max="16" width="14.109375" bestFit="1" customWidth="1"/>
    <col min="17" max="17" width="13.77734375" bestFit="1" customWidth="1"/>
    <col min="18" max="18" width="14.109375" bestFit="1" customWidth="1"/>
    <col min="19" max="19" width="30.5546875" bestFit="1" customWidth="1"/>
    <col min="20" max="20" width="16" bestFit="1" customWidth="1"/>
    <col min="21" max="21" width="7" bestFit="1" customWidth="1"/>
    <col min="22" max="22" width="14.33203125" bestFit="1" customWidth="1"/>
    <col min="23" max="23" width="10.5546875" bestFit="1" customWidth="1"/>
  </cols>
  <sheetData>
    <row r="3" spans="2:18" x14ac:dyDescent="0.3">
      <c r="B3" s="5" t="s">
        <v>2</v>
      </c>
      <c r="C3" t="s">
        <v>165</v>
      </c>
      <c r="D3" t="s">
        <v>173</v>
      </c>
      <c r="E3" t="s">
        <v>169</v>
      </c>
      <c r="K3" s="5" t="s">
        <v>2</v>
      </c>
    </row>
    <row r="4" spans="2:18" x14ac:dyDescent="0.3">
      <c r="B4" s="6" t="s">
        <v>6</v>
      </c>
      <c r="C4" s="3">
        <v>123153.5</v>
      </c>
      <c r="D4" s="3">
        <v>220</v>
      </c>
      <c r="E4" s="3">
        <v>6106.5</v>
      </c>
      <c r="G4" s="3"/>
      <c r="K4" t="s">
        <v>6</v>
      </c>
      <c r="M4" t="s">
        <v>13</v>
      </c>
      <c r="O4" t="s">
        <v>16</v>
      </c>
      <c r="Q4" t="s">
        <v>10</v>
      </c>
    </row>
    <row r="5" spans="2:18" x14ac:dyDescent="0.3">
      <c r="B5" s="6" t="s">
        <v>13</v>
      </c>
      <c r="C5" s="3">
        <v>50751.200000000004</v>
      </c>
      <c r="D5" s="3">
        <v>85</v>
      </c>
      <c r="E5" s="3">
        <v>1948.8000000000002</v>
      </c>
      <c r="G5" s="3"/>
      <c r="J5" s="5" t="s">
        <v>110</v>
      </c>
      <c r="K5" t="s">
        <v>170</v>
      </c>
      <c r="L5" t="s">
        <v>165</v>
      </c>
      <c r="M5" t="s">
        <v>170</v>
      </c>
      <c r="N5" t="s">
        <v>165</v>
      </c>
      <c r="O5" t="s">
        <v>170</v>
      </c>
      <c r="P5" t="s">
        <v>165</v>
      </c>
      <c r="Q5" t="s">
        <v>170</v>
      </c>
      <c r="R5" t="s">
        <v>165</v>
      </c>
    </row>
    <row r="6" spans="2:18" x14ac:dyDescent="0.3">
      <c r="B6" s="6" t="s">
        <v>16</v>
      </c>
      <c r="C6" s="3">
        <v>67782</v>
      </c>
      <c r="D6" s="3">
        <v>79</v>
      </c>
      <c r="E6" s="3">
        <v>2598</v>
      </c>
      <c r="G6" s="3"/>
      <c r="J6" s="6" t="s">
        <v>51</v>
      </c>
      <c r="K6" s="3">
        <v>2889</v>
      </c>
      <c r="L6" s="3">
        <v>58471</v>
      </c>
      <c r="M6" s="3">
        <v>952</v>
      </c>
      <c r="N6" s="3">
        <v>26598</v>
      </c>
      <c r="O6" s="3">
        <v>990</v>
      </c>
      <c r="P6" s="3">
        <v>18210</v>
      </c>
      <c r="Q6" s="3">
        <v>462</v>
      </c>
      <c r="R6" s="3">
        <v>9138</v>
      </c>
    </row>
    <row r="7" spans="2:18" x14ac:dyDescent="0.3">
      <c r="B7" s="6" t="s">
        <v>10</v>
      </c>
      <c r="C7" s="3">
        <v>72692</v>
      </c>
      <c r="D7" s="3">
        <v>116</v>
      </c>
      <c r="E7" s="3">
        <v>4158</v>
      </c>
      <c r="G7" s="3"/>
      <c r="J7" s="6" t="s">
        <v>47</v>
      </c>
      <c r="K7" s="3">
        <v>1550</v>
      </c>
      <c r="L7" s="3">
        <v>30250</v>
      </c>
      <c r="M7" s="3">
        <v>496.8</v>
      </c>
      <c r="N7" s="3">
        <v>11923.199999999999</v>
      </c>
      <c r="O7" s="3">
        <v>1410</v>
      </c>
      <c r="P7" s="3">
        <v>38540</v>
      </c>
      <c r="Q7" s="3">
        <v>1610</v>
      </c>
      <c r="R7" s="3">
        <v>27490</v>
      </c>
    </row>
    <row r="8" spans="2:18" x14ac:dyDescent="0.3">
      <c r="B8" s="6" t="s">
        <v>166</v>
      </c>
      <c r="C8" s="3">
        <v>314378.69999999995</v>
      </c>
      <c r="D8" s="3">
        <v>500</v>
      </c>
      <c r="E8" s="3">
        <v>14811.300000000001</v>
      </c>
      <c r="J8" s="6" t="s">
        <v>49</v>
      </c>
      <c r="K8" s="3">
        <v>570</v>
      </c>
      <c r="L8" s="3">
        <v>13380</v>
      </c>
      <c r="M8" s="3">
        <v>234</v>
      </c>
      <c r="N8" s="3">
        <v>5696</v>
      </c>
      <c r="O8" s="3">
        <v>0</v>
      </c>
      <c r="P8" s="3">
        <v>1050</v>
      </c>
      <c r="Q8" s="3">
        <v>1711.5</v>
      </c>
      <c r="R8" s="3">
        <v>30238.5</v>
      </c>
    </row>
    <row r="9" spans="2:18" x14ac:dyDescent="0.3">
      <c r="J9" s="6" t="s">
        <v>45</v>
      </c>
      <c r="K9" s="3">
        <v>1097.5</v>
      </c>
      <c r="L9" s="3">
        <v>21052.5</v>
      </c>
      <c r="M9" s="3">
        <v>266</v>
      </c>
      <c r="N9" s="3">
        <v>6534</v>
      </c>
      <c r="O9" s="3">
        <v>198</v>
      </c>
      <c r="P9" s="3">
        <v>9982</v>
      </c>
      <c r="Q9" s="3">
        <v>374.5</v>
      </c>
      <c r="R9" s="3">
        <v>5825.5</v>
      </c>
    </row>
    <row r="10" spans="2:18" x14ac:dyDescent="0.3">
      <c r="J10" s="6" t="s">
        <v>166</v>
      </c>
      <c r="K10" s="3">
        <v>6106.5</v>
      </c>
      <c r="L10" s="3">
        <v>123153.5</v>
      </c>
      <c r="M10" s="3">
        <v>1948.8</v>
      </c>
      <c r="N10" s="3">
        <v>50751.199999999997</v>
      </c>
      <c r="O10" s="3">
        <v>2598</v>
      </c>
      <c r="P10" s="3">
        <v>67782</v>
      </c>
      <c r="Q10" s="3">
        <v>4158</v>
      </c>
      <c r="R10" s="3">
        <v>72692</v>
      </c>
    </row>
    <row r="11" spans="2:18" x14ac:dyDescent="0.3">
      <c r="C11" s="5" t="s">
        <v>54</v>
      </c>
    </row>
    <row r="12" spans="2:18" x14ac:dyDescent="0.3">
      <c r="C12" t="s">
        <v>59</v>
      </c>
      <c r="E12" t="s">
        <v>63</v>
      </c>
    </row>
    <row r="13" spans="2:18" x14ac:dyDescent="0.3">
      <c r="B13" s="5" t="s">
        <v>135</v>
      </c>
      <c r="C13" t="s">
        <v>168</v>
      </c>
      <c r="D13" t="s">
        <v>165</v>
      </c>
      <c r="E13" t="s">
        <v>168</v>
      </c>
      <c r="F13" t="s">
        <v>165</v>
      </c>
      <c r="J13" s="5" t="s">
        <v>53</v>
      </c>
      <c r="K13" t="s">
        <v>168</v>
      </c>
      <c r="L13" t="s">
        <v>165</v>
      </c>
    </row>
    <row r="14" spans="2:18" x14ac:dyDescent="0.3">
      <c r="B14" s="6" t="s">
        <v>60</v>
      </c>
      <c r="C14" s="2">
        <v>229</v>
      </c>
      <c r="D14" s="3">
        <v>174944</v>
      </c>
      <c r="E14" s="2"/>
      <c r="F14" s="3"/>
      <c r="J14" s="6" t="s">
        <v>60</v>
      </c>
      <c r="K14" s="2">
        <v>229</v>
      </c>
      <c r="L14" s="3">
        <v>174944</v>
      </c>
    </row>
    <row r="15" spans="2:18" x14ac:dyDescent="0.3">
      <c r="B15" s="6" t="s">
        <v>74</v>
      </c>
      <c r="C15" s="2">
        <v>71</v>
      </c>
      <c r="D15" s="3">
        <v>13702</v>
      </c>
      <c r="E15" s="2"/>
      <c r="F15" s="3"/>
      <c r="J15" s="7" t="s">
        <v>58</v>
      </c>
      <c r="K15" s="2">
        <v>229</v>
      </c>
      <c r="L15" s="3">
        <v>174944</v>
      </c>
    </row>
    <row r="16" spans="2:18" x14ac:dyDescent="0.3">
      <c r="B16" s="6" t="s">
        <v>64</v>
      </c>
      <c r="C16" s="2"/>
      <c r="D16" s="3"/>
      <c r="E16" s="2">
        <v>493</v>
      </c>
      <c r="F16" s="3">
        <v>110703</v>
      </c>
      <c r="J16" s="6" t="s">
        <v>74</v>
      </c>
      <c r="K16" s="2">
        <v>71</v>
      </c>
      <c r="L16" s="3">
        <v>13702</v>
      </c>
    </row>
    <row r="17" spans="2:16" x14ac:dyDescent="0.3">
      <c r="B17" s="6" t="s">
        <v>67</v>
      </c>
      <c r="C17" s="2">
        <v>441</v>
      </c>
      <c r="D17" s="3">
        <v>15029.699999999999</v>
      </c>
      <c r="E17" s="2"/>
      <c r="F17" s="3"/>
      <c r="J17" s="7" t="s">
        <v>73</v>
      </c>
      <c r="K17" s="2">
        <v>71</v>
      </c>
      <c r="L17" s="3">
        <v>13702</v>
      </c>
    </row>
    <row r="18" spans="2:16" x14ac:dyDescent="0.3">
      <c r="B18" s="6" t="s">
        <v>166</v>
      </c>
      <c r="C18" s="2">
        <v>741</v>
      </c>
      <c r="D18" s="3">
        <v>203675.7</v>
      </c>
      <c r="E18" s="2">
        <v>493</v>
      </c>
      <c r="F18" s="3">
        <v>110703</v>
      </c>
      <c r="J18" s="6" t="s">
        <v>64</v>
      </c>
      <c r="K18" s="2">
        <v>493</v>
      </c>
      <c r="L18" s="3">
        <v>110703</v>
      </c>
    </row>
    <row r="19" spans="2:16" x14ac:dyDescent="0.3">
      <c r="J19" s="7" t="s">
        <v>71</v>
      </c>
      <c r="K19" s="2">
        <v>281</v>
      </c>
      <c r="L19" s="3">
        <v>80295</v>
      </c>
    </row>
    <row r="20" spans="2:16" x14ac:dyDescent="0.3">
      <c r="J20" s="7" t="s">
        <v>62</v>
      </c>
      <c r="K20" s="2">
        <v>212</v>
      </c>
      <c r="L20" s="3">
        <v>30408</v>
      </c>
    </row>
    <row r="21" spans="2:16" x14ac:dyDescent="0.3">
      <c r="B21" s="5" t="s">
        <v>165</v>
      </c>
      <c r="C21" s="5" t="s">
        <v>2</v>
      </c>
      <c r="J21" s="6" t="s">
        <v>67</v>
      </c>
      <c r="K21" s="2">
        <v>441</v>
      </c>
      <c r="L21" s="3">
        <v>15029.7</v>
      </c>
    </row>
    <row r="22" spans="2:16" x14ac:dyDescent="0.3">
      <c r="B22" s="5" t="s">
        <v>110</v>
      </c>
      <c r="C22" t="s">
        <v>6</v>
      </c>
      <c r="D22" t="s">
        <v>13</v>
      </c>
      <c r="E22" t="s">
        <v>16</v>
      </c>
      <c r="F22" t="s">
        <v>10</v>
      </c>
      <c r="G22" t="s">
        <v>166</v>
      </c>
      <c r="J22" s="7" t="s">
        <v>69</v>
      </c>
      <c r="K22" s="2">
        <v>229</v>
      </c>
      <c r="L22" s="3">
        <v>10978.5</v>
      </c>
    </row>
    <row r="23" spans="2:16" x14ac:dyDescent="0.3">
      <c r="B23" s="6" t="s">
        <v>51</v>
      </c>
      <c r="C23" s="3">
        <v>58471</v>
      </c>
      <c r="D23" s="3">
        <v>26598</v>
      </c>
      <c r="E23" s="3">
        <v>18210</v>
      </c>
      <c r="F23" s="3">
        <v>9138</v>
      </c>
      <c r="G23" s="3">
        <v>112417</v>
      </c>
      <c r="J23" s="7" t="s">
        <v>66</v>
      </c>
      <c r="K23" s="2">
        <v>212</v>
      </c>
      <c r="L23" s="3">
        <v>4051.2000000000003</v>
      </c>
    </row>
    <row r="24" spans="2:16" x14ac:dyDescent="0.3">
      <c r="B24" s="6" t="s">
        <v>47</v>
      </c>
      <c r="C24" s="3">
        <v>30250</v>
      </c>
      <c r="D24" s="3">
        <v>11923.199999999999</v>
      </c>
      <c r="E24" s="3">
        <v>38540</v>
      </c>
      <c r="F24" s="3">
        <v>27490</v>
      </c>
      <c r="G24" s="3">
        <v>108203.2</v>
      </c>
      <c r="J24" s="6" t="s">
        <v>166</v>
      </c>
      <c r="K24" s="2">
        <v>1234</v>
      </c>
      <c r="L24" s="3">
        <v>314378.7</v>
      </c>
    </row>
    <row r="25" spans="2:16" x14ac:dyDescent="0.3">
      <c r="B25" s="6" t="s">
        <v>49</v>
      </c>
      <c r="C25" s="3">
        <v>13380</v>
      </c>
      <c r="D25" s="3">
        <v>5696</v>
      </c>
      <c r="E25" s="3">
        <v>1050</v>
      </c>
      <c r="F25" s="3">
        <v>30238.5</v>
      </c>
      <c r="G25" s="3">
        <v>50364.5</v>
      </c>
    </row>
    <row r="26" spans="2:16" x14ac:dyDescent="0.3">
      <c r="B26" s="6" t="s">
        <v>45</v>
      </c>
      <c r="C26" s="3">
        <v>21052.5</v>
      </c>
      <c r="D26" s="3">
        <v>6534</v>
      </c>
      <c r="E26" s="3">
        <v>9982</v>
      </c>
      <c r="F26" s="3">
        <v>5825.5</v>
      </c>
      <c r="G26" s="3">
        <v>43394</v>
      </c>
    </row>
    <row r="27" spans="2:16" x14ac:dyDescent="0.3">
      <c r="B27" s="6" t="s">
        <v>166</v>
      </c>
      <c r="C27" s="3">
        <v>123153.5</v>
      </c>
      <c r="D27" s="3">
        <v>50751.199999999997</v>
      </c>
      <c r="E27" s="3">
        <v>67782</v>
      </c>
      <c r="F27" s="3">
        <v>72692</v>
      </c>
      <c r="G27" s="3">
        <v>314378.7</v>
      </c>
    </row>
    <row r="28" spans="2:16" x14ac:dyDescent="0.3">
      <c r="K28" s="10" t="s">
        <v>172</v>
      </c>
      <c r="L28" s="10"/>
      <c r="M28" s="10"/>
      <c r="N28" s="10"/>
      <c r="O28" s="10"/>
      <c r="P28" s="10"/>
    </row>
    <row r="29" spans="2:16" x14ac:dyDescent="0.3">
      <c r="K29" t="s">
        <v>175</v>
      </c>
      <c r="L29" t="s">
        <v>176</v>
      </c>
      <c r="M29" t="s">
        <v>177</v>
      </c>
      <c r="N29" t="s">
        <v>178</v>
      </c>
      <c r="O29" t="s">
        <v>179</v>
      </c>
    </row>
    <row r="30" spans="2:16" x14ac:dyDescent="0.3">
      <c r="K30" t="s">
        <v>165</v>
      </c>
      <c r="L30" s="9">
        <f>GETPIVOTDATA("Total Net Sales",$B$3)</f>
        <v>314378.69999999995</v>
      </c>
      <c r="M30" s="9">
        <f>GETPIVOTDATA("Total Net Sales",$B$47,"Year",2025)</f>
        <v>92718.5</v>
      </c>
      <c r="N30" s="9">
        <f>GETPIVOTDATA("Total Net Sales",$B$47,"Year",2024)</f>
        <v>221660.19999999998</v>
      </c>
      <c r="O30" s="8">
        <f>(M30-N30)/N30</f>
        <v>-0.58170884985216109</v>
      </c>
      <c r="P30" t="str">
        <f>IF(O30&gt;0,"▲","▼")&amp;TEXT(ABS(O30)," 0%")&amp;" YoY"</f>
        <v>▼ 58% YoY</v>
      </c>
    </row>
    <row r="31" spans="2:16" x14ac:dyDescent="0.3">
      <c r="K31" t="s">
        <v>173</v>
      </c>
      <c r="L31" s="9">
        <f>GETPIVOTDATA("Total Orders",$B$3)</f>
        <v>500</v>
      </c>
      <c r="M31" s="9">
        <f>GETPIVOTDATA("Total Orders",$B$47,"Year",2025)</f>
        <v>134</v>
      </c>
      <c r="N31" s="9">
        <f>GETPIVOTDATA("Total Orders",$B$47,"Year",2024)</f>
        <v>366</v>
      </c>
      <c r="O31" s="8">
        <f>(M31-N31)/N31</f>
        <v>-0.63387978142076506</v>
      </c>
      <c r="P31" t="str">
        <f>IF(O31&gt;0,"▲","▼")&amp;TEXT(ABS(O31)," 0%")&amp;" YoY"</f>
        <v>▼ 63% YoY</v>
      </c>
    </row>
    <row r="32" spans="2:16" x14ac:dyDescent="0.3">
      <c r="K32" t="s">
        <v>192</v>
      </c>
      <c r="L32" s="9">
        <f>GETPIVOTDATA("Avrage Order Value",$B$47)</f>
        <v>628.75739999999996</v>
      </c>
      <c r="M32" s="9">
        <f>GETPIVOTDATA("Avrage Order Value",$B$47,"Year",2025)</f>
        <v>691.92910447761199</v>
      </c>
      <c r="N32" s="9">
        <f>GETPIVOTDATA("Avrage Order Value",$B$47,"Year",2024)</f>
        <v>605.62896174863386</v>
      </c>
      <c r="O32" s="8">
        <f>(M32-N32)/N32</f>
        <v>0.14249672353812726</v>
      </c>
      <c r="P32" t="str">
        <f>IF(O32&gt;0,"▲","▼")&amp;TEXT(ABS(O32)," 0%")&amp;" YoY"</f>
        <v>▲ 14% YoY</v>
      </c>
    </row>
    <row r="33" spans="2:20" x14ac:dyDescent="0.3">
      <c r="K33" t="s">
        <v>174</v>
      </c>
      <c r="L33" s="9">
        <f>GETPIVOTDATA("Sum of Discount",$B$3)</f>
        <v>14811.300000000001</v>
      </c>
      <c r="M33" s="9">
        <f>GETPIVOTDATA("Sum of Discount",$B$47,"Year",2025)</f>
        <v>4041.5</v>
      </c>
      <c r="N33" s="9">
        <f>GETPIVOTDATA("Sum of Discount",$B$47,"Year",2024)</f>
        <v>10769.800000000001</v>
      </c>
      <c r="O33" s="8">
        <f>(M33-N33)/N33</f>
        <v>-0.62473769243625699</v>
      </c>
      <c r="P33" t="str">
        <f>IF(O33&gt;0,"▲","▼")&amp;TEXT(ABS(O33)," 0%")&amp;" YoY"</f>
        <v>▼ 62% YoY</v>
      </c>
    </row>
    <row r="38" spans="2:20" x14ac:dyDescent="0.3">
      <c r="K38" t="s">
        <v>183</v>
      </c>
      <c r="O38" t="s">
        <v>184</v>
      </c>
      <c r="S38" t="s">
        <v>185</v>
      </c>
    </row>
    <row r="39" spans="2:20" x14ac:dyDescent="0.3">
      <c r="K39" t="str">
        <f xml:space="preserve"> "Peak Sales Month: "&amp; INDEX(K41:K52,MATCH(MAX(L41:L52),L41:L52,0)) &amp;" with "&amp;TEXT(MAX(L41:L52),"£#,##0")&amp;" in Sales"</f>
        <v>Peak Sales Month: Jan with £39,706 in Sales</v>
      </c>
      <c r="O39" t="str">
        <f>INDEX(O41:O44,MATCH(MAX(P41:P44),P41:P44,0))&amp;TEXT(MAX(P41:P44)," ($#,##0)")&amp;" with Most Sales"</f>
        <v>East ($123,154) with Most Sales</v>
      </c>
    </row>
    <row r="40" spans="2:20" x14ac:dyDescent="0.3">
      <c r="K40" s="5" t="s">
        <v>151</v>
      </c>
      <c r="L40" t="s">
        <v>182</v>
      </c>
      <c r="O40" s="5" t="s">
        <v>2</v>
      </c>
      <c r="P40" t="s">
        <v>182</v>
      </c>
      <c r="S40" s="5" t="s">
        <v>110</v>
      </c>
      <c r="T40" t="s">
        <v>180</v>
      </c>
    </row>
    <row r="41" spans="2:20" x14ac:dyDescent="0.3">
      <c r="K41" s="6" t="s">
        <v>153</v>
      </c>
      <c r="L41" s="9">
        <v>39705.5</v>
      </c>
      <c r="O41" s="6" t="s">
        <v>6</v>
      </c>
      <c r="P41" s="9">
        <v>123153.5</v>
      </c>
      <c r="S41" s="6" t="s">
        <v>51</v>
      </c>
      <c r="T41" s="9">
        <v>562.08500000000004</v>
      </c>
    </row>
    <row r="42" spans="2:20" x14ac:dyDescent="0.3">
      <c r="K42" s="6" t="s">
        <v>157</v>
      </c>
      <c r="L42" s="9">
        <v>32314</v>
      </c>
      <c r="O42" s="6" t="s">
        <v>13</v>
      </c>
      <c r="P42" s="9">
        <v>50751.200000000004</v>
      </c>
      <c r="S42" s="6" t="s">
        <v>47</v>
      </c>
      <c r="T42" s="9">
        <v>1082.0320000000002</v>
      </c>
    </row>
    <row r="43" spans="2:20" x14ac:dyDescent="0.3">
      <c r="K43" s="6" t="s">
        <v>158</v>
      </c>
      <c r="L43" s="9">
        <v>29881.9</v>
      </c>
      <c r="O43" s="6" t="s">
        <v>16</v>
      </c>
      <c r="P43" s="9">
        <v>67782</v>
      </c>
      <c r="S43" s="6" t="s">
        <v>49</v>
      </c>
      <c r="T43" s="9">
        <v>503.64499999999998</v>
      </c>
    </row>
    <row r="44" spans="2:20" x14ac:dyDescent="0.3">
      <c r="K44" s="6" t="s">
        <v>156</v>
      </c>
      <c r="L44" s="9">
        <v>31170</v>
      </c>
      <c r="O44" s="6" t="s">
        <v>10</v>
      </c>
      <c r="P44" s="9">
        <v>72692</v>
      </c>
      <c r="S44" s="6" t="s">
        <v>45</v>
      </c>
      <c r="T44" s="9">
        <v>433.94</v>
      </c>
    </row>
    <row r="45" spans="2:20" x14ac:dyDescent="0.3">
      <c r="K45" s="6" t="s">
        <v>159</v>
      </c>
      <c r="L45" s="9">
        <v>24260.9</v>
      </c>
      <c r="S45" s="6" t="s">
        <v>166</v>
      </c>
      <c r="T45" s="9">
        <v>628.75739999999996</v>
      </c>
    </row>
    <row r="46" spans="2:20" x14ac:dyDescent="0.3">
      <c r="K46" s="6" t="s">
        <v>164</v>
      </c>
      <c r="L46" s="9">
        <v>25840.5</v>
      </c>
    </row>
    <row r="47" spans="2:20" x14ac:dyDescent="0.3">
      <c r="B47" s="5" t="s">
        <v>2</v>
      </c>
      <c r="C47" t="s">
        <v>165</v>
      </c>
      <c r="D47" t="s">
        <v>173</v>
      </c>
      <c r="E47" t="s">
        <v>169</v>
      </c>
      <c r="F47" t="s">
        <v>181</v>
      </c>
      <c r="K47" s="6" t="s">
        <v>160</v>
      </c>
      <c r="L47" s="9">
        <v>20070</v>
      </c>
      <c r="S47" s="6" t="s">
        <v>188</v>
      </c>
    </row>
    <row r="48" spans="2:20" x14ac:dyDescent="0.3">
      <c r="B48" s="6">
        <v>2024</v>
      </c>
      <c r="C48" s="3">
        <v>221660.19999999998</v>
      </c>
      <c r="D48" s="3">
        <v>366</v>
      </c>
      <c r="E48" s="3">
        <v>10769.800000000001</v>
      </c>
      <c r="F48" s="3">
        <v>605.62896174863386</v>
      </c>
      <c r="K48" s="6" t="s">
        <v>154</v>
      </c>
      <c r="L48" s="9">
        <v>19000</v>
      </c>
      <c r="O48" s="6" t="s">
        <v>187</v>
      </c>
      <c r="S48" t="str">
        <f>INDEX(S50:S53,MATCH(MAX(T50:T53),T50:T53,0)) &amp;TEXT(MAX(T50:T53)," ($#,##0)")&amp;" with Most Discount"</f>
        <v>East ($6,107) with Most Discount</v>
      </c>
    </row>
    <row r="49" spans="2:20" x14ac:dyDescent="0.3">
      <c r="B49" s="6">
        <v>2025</v>
      </c>
      <c r="C49" s="3">
        <v>92718.5</v>
      </c>
      <c r="D49" s="3">
        <v>134</v>
      </c>
      <c r="E49" s="3">
        <v>4041.5</v>
      </c>
      <c r="F49" s="3">
        <v>691.92910447761199</v>
      </c>
      <c r="K49" s="6" t="s">
        <v>161</v>
      </c>
      <c r="L49" s="9">
        <v>24156</v>
      </c>
      <c r="S49" s="5" t="s">
        <v>2</v>
      </c>
      <c r="T49" t="s">
        <v>169</v>
      </c>
    </row>
    <row r="50" spans="2:20" x14ac:dyDescent="0.3">
      <c r="B50" s="6" t="s">
        <v>166</v>
      </c>
      <c r="C50" s="3">
        <v>314378.69999999995</v>
      </c>
      <c r="D50" s="3">
        <v>500</v>
      </c>
      <c r="E50" s="3">
        <v>14811.300000000001</v>
      </c>
      <c r="F50" s="3">
        <v>628.75739999999996</v>
      </c>
      <c r="K50" s="6" t="s">
        <v>155</v>
      </c>
      <c r="L50" s="9">
        <v>21069.4</v>
      </c>
      <c r="O50" s="5" t="s">
        <v>54</v>
      </c>
      <c r="P50" t="s">
        <v>168</v>
      </c>
      <c r="S50" s="6" t="s">
        <v>6</v>
      </c>
      <c r="T50" s="9">
        <v>6106.5</v>
      </c>
    </row>
    <row r="51" spans="2:20" x14ac:dyDescent="0.3">
      <c r="K51" s="6" t="s">
        <v>162</v>
      </c>
      <c r="L51" s="9">
        <v>25088.5</v>
      </c>
      <c r="O51" s="6" t="s">
        <v>59</v>
      </c>
      <c r="P51" s="2">
        <v>741</v>
      </c>
      <c r="S51" s="6" t="s">
        <v>13</v>
      </c>
      <c r="T51" s="9">
        <v>1948.8000000000002</v>
      </c>
    </row>
    <row r="52" spans="2:20" x14ac:dyDescent="0.3">
      <c r="K52" s="6" t="s">
        <v>163</v>
      </c>
      <c r="L52" s="9">
        <v>21822</v>
      </c>
      <c r="O52" s="6" t="s">
        <v>63</v>
      </c>
      <c r="P52" s="2">
        <v>493</v>
      </c>
      <c r="S52" s="6" t="s">
        <v>16</v>
      </c>
      <c r="T52" s="9">
        <v>2598</v>
      </c>
    </row>
    <row r="53" spans="2:20" x14ac:dyDescent="0.3">
      <c r="K53" s="6" t="s">
        <v>166</v>
      </c>
      <c r="L53" s="9">
        <v>314378.7</v>
      </c>
      <c r="O53" s="6" t="s">
        <v>166</v>
      </c>
      <c r="P53" s="2">
        <v>1234</v>
      </c>
      <c r="S53" s="6" t="s">
        <v>10</v>
      </c>
      <c r="T53" s="9">
        <v>4158</v>
      </c>
    </row>
    <row r="54" spans="2:20" x14ac:dyDescent="0.3">
      <c r="S54" s="6" t="s">
        <v>166</v>
      </c>
      <c r="T54" s="9">
        <v>14811.3</v>
      </c>
    </row>
    <row r="56" spans="2:20" x14ac:dyDescent="0.3">
      <c r="K56" s="6" t="s">
        <v>189</v>
      </c>
    </row>
    <row r="57" spans="2:20" x14ac:dyDescent="0.3">
      <c r="K57" t="str">
        <f xml:space="preserve"> INDEX(K59:K63,MATCH(MAX(L59:L63),L59:L63,0)) &amp;" Leading with "&amp;TEXT(MAX(L59:L63),"£#,##0")</f>
        <v>Laptop Leading with £174,944</v>
      </c>
    </row>
    <row r="58" spans="2:20" x14ac:dyDescent="0.3">
      <c r="K58" s="5" t="s">
        <v>53</v>
      </c>
      <c r="L58" t="s">
        <v>182</v>
      </c>
    </row>
    <row r="59" spans="2:20" x14ac:dyDescent="0.3">
      <c r="K59" s="6" t="s">
        <v>71</v>
      </c>
      <c r="L59" s="9">
        <v>80295</v>
      </c>
      <c r="O59" s="6" t="s">
        <v>186</v>
      </c>
      <c r="S59" t="s">
        <v>190</v>
      </c>
    </row>
    <row r="60" spans="2:20" x14ac:dyDescent="0.3">
      <c r="K60" s="6" t="s">
        <v>69</v>
      </c>
      <c r="L60" s="9">
        <v>10978.5</v>
      </c>
    </row>
    <row r="61" spans="2:20" x14ac:dyDescent="0.3">
      <c r="K61" s="6" t="s">
        <v>58</v>
      </c>
      <c r="L61" s="9">
        <v>174944</v>
      </c>
      <c r="O61" s="5" t="s">
        <v>152</v>
      </c>
      <c r="P61" t="s">
        <v>180</v>
      </c>
      <c r="S61" s="5" t="s">
        <v>53</v>
      </c>
      <c r="T61" t="s">
        <v>182</v>
      </c>
    </row>
    <row r="62" spans="2:20" x14ac:dyDescent="0.3">
      <c r="K62" s="6" t="s">
        <v>73</v>
      </c>
      <c r="L62" s="9">
        <v>13702</v>
      </c>
      <c r="O62" s="6">
        <v>2024</v>
      </c>
      <c r="P62" s="9">
        <v>605.62896174863386</v>
      </c>
      <c r="S62" s="6" t="s">
        <v>150</v>
      </c>
      <c r="T62" s="9">
        <v>116240</v>
      </c>
    </row>
    <row r="63" spans="2:20" x14ac:dyDescent="0.3">
      <c r="K63" s="6" t="s">
        <v>62</v>
      </c>
      <c r="L63" s="9">
        <v>30408</v>
      </c>
      <c r="O63" s="6">
        <v>2025</v>
      </c>
      <c r="P63" s="9">
        <v>691.92910447761199</v>
      </c>
      <c r="S63" s="6" t="s">
        <v>145</v>
      </c>
      <c r="T63" s="9">
        <v>92312.700000000012</v>
      </c>
    </row>
    <row r="64" spans="2:20" x14ac:dyDescent="0.3">
      <c r="K64" s="6" t="s">
        <v>166</v>
      </c>
      <c r="L64" s="9">
        <v>310327.5</v>
      </c>
      <c r="O64" s="6" t="s">
        <v>166</v>
      </c>
      <c r="P64" s="9">
        <v>628.75739999999996</v>
      </c>
      <c r="S64" s="6" t="s">
        <v>149</v>
      </c>
      <c r="T64" s="9">
        <v>105826</v>
      </c>
    </row>
    <row r="65" spans="19:20" x14ac:dyDescent="0.3">
      <c r="S65" s="6" t="s">
        <v>191</v>
      </c>
      <c r="T65" s="9"/>
    </row>
    <row r="66" spans="19:20" x14ac:dyDescent="0.3">
      <c r="S66" s="6" t="s">
        <v>166</v>
      </c>
      <c r="T66" s="9">
        <v>314378.7</v>
      </c>
    </row>
  </sheetData>
  <mergeCells count="1">
    <mergeCell ref="K28:P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21B333-DDD5-4BB4-BBAE-60BBDB59F0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SalesRep</vt:lpstr>
      <vt:lpstr>Dashboard</vt:lpstr>
      <vt:lpstr>Retail_Sales_Data</vt:lpstr>
      <vt:lpstr>Product</vt:lpstr>
      <vt:lpstr>Customer</vt:lpstr>
      <vt:lpstr>Analysis</vt:lpstr>
      <vt:lpstr>mostdiscountregion</vt:lpstr>
      <vt:lpstr>salesbyregion</vt:lpstr>
      <vt:lpstr>salestrend</vt:lpstr>
      <vt:lpstr>topsellingproduct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Igwe</dc:creator>
  <cp:lastModifiedBy>Francis Igwe</cp:lastModifiedBy>
  <dcterms:created xsi:type="dcterms:W3CDTF">2026-07-06T09:11:04Z</dcterms:created>
  <dcterms:modified xsi:type="dcterms:W3CDTF">2026-08-02T12:54:42Z</dcterms:modified>
</cp:coreProperties>
</file>